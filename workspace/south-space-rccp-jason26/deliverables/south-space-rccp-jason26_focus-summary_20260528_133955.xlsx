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zhangs37\ai_chainsight\workspace\south-space-rccp-jason26\deliverables\"/>
    </mc:Choice>
  </mc:AlternateContent>
  <xr:revisionPtr revIDLastSave="0" documentId="13_ncr:1_{C95B228B-5832-40C5-8402-0C3331CDE7A4}" xr6:coauthVersionLast="47" xr6:coauthVersionMax="47" xr10:uidLastSave="{00000000-0000-0000-0000-000000000000}"/>
  <bookViews>
    <workbookView xWindow="5844" yWindow="-13548" windowWidth="21468" windowHeight="11724" activeTab="3" xr2:uid="{00000000-000D-0000-FFFF-FFFF00000000}"/>
  </bookViews>
  <sheets>
    <sheet name="focus_summary" sheetId="1" r:id="rId1"/>
    <sheet name="rccp_month_location" sheetId="2" r:id="rId2"/>
    <sheet name="rccp_pivot" sheetId="3" r:id="rId3"/>
    <sheet name="rccp_cat_pivot" sheetId="9" r:id="rId4"/>
    <sheet name="cfr_month_location" sheetId="4" r:id="rId5"/>
    <sheet name="cfr_pivot" sheetId="5" r:id="rId6"/>
    <sheet name="dfc_peakday_month_loc" sheetId="6" r:id="rId7"/>
    <sheet name="dfc_pivot" sheetId="7" r:id="rId8"/>
    <sheet name="rccp_month_category_en" sheetId="8" r:id="rId9"/>
    <sheet name="rccp_month_loc_cat_en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9" l="1"/>
  <c r="I14" i="9"/>
  <c r="H14" i="9"/>
  <c r="G14" i="9"/>
  <c r="E14" i="9"/>
  <c r="D14" i="9"/>
  <c r="C14" i="9"/>
  <c r="B14" i="9"/>
  <c r="K18" i="9" l="1"/>
  <c r="C12" i="9"/>
  <c r="D12" i="9"/>
  <c r="E12" i="9"/>
  <c r="G12" i="9"/>
  <c r="H12" i="9"/>
  <c r="I12" i="9"/>
  <c r="J12" i="9"/>
  <c r="B12" i="9"/>
  <c r="F9" i="9"/>
  <c r="C17" i="9"/>
  <c r="D17" i="9"/>
  <c r="G9" i="9"/>
  <c r="G17" i="9" s="1"/>
  <c r="G16" i="9" s="1"/>
  <c r="G23" i="9" s="1"/>
  <c r="J9" i="9"/>
  <c r="J17" i="9" s="1"/>
  <c r="I9" i="9"/>
  <c r="I17" i="9" s="1"/>
  <c r="H9" i="9"/>
  <c r="H17" i="9" s="1"/>
  <c r="H16" i="9" s="1"/>
  <c r="H23" i="9" s="1"/>
  <c r="E9" i="9"/>
  <c r="E17" i="9" s="1"/>
  <c r="E16" i="9" s="1"/>
  <c r="E23" i="9" s="1"/>
  <c r="D9" i="9"/>
  <c r="C9" i="9"/>
  <c r="B9" i="9"/>
  <c r="B17" i="9" s="1"/>
  <c r="E15" i="9" l="1"/>
  <c r="C16" i="9"/>
  <c r="C23" i="9" s="1"/>
  <c r="H15" i="9"/>
  <c r="D16" i="9"/>
  <c r="D23" i="9" s="1"/>
  <c r="G15" i="9"/>
  <c r="B16" i="9"/>
  <c r="B23" i="9" s="1"/>
  <c r="I16" i="9"/>
  <c r="J16" i="9"/>
  <c r="K17" i="9"/>
  <c r="I23" i="9" l="1"/>
  <c r="I15" i="9"/>
  <c r="J23" i="9"/>
  <c r="J15" i="9"/>
  <c r="C15" i="9"/>
  <c r="D15" i="9"/>
  <c r="B15" i="9"/>
  <c r="K15" i="9" l="1"/>
  <c r="L15" i="9" s="1"/>
  <c r="K2" i="9" l="1"/>
  <c r="K3" i="9"/>
  <c r="K4" i="9"/>
  <c r="K5" i="9"/>
  <c r="K6" i="9"/>
  <c r="H5" i="3"/>
  <c r="H6" i="3"/>
  <c r="H4" i="3"/>
  <c r="G3" i="3"/>
  <c r="G4" i="3"/>
  <c r="G5" i="3"/>
  <c r="G6" i="3"/>
  <c r="G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Kuang, Rainbow</author>
  </authors>
  <commentList>
    <comment ref="Q6" authorId="0" shapeId="0" xr:uid="{35C43320-A760-4AA8-B187-032BF7930A7E}">
      <text>
        <r>
          <rPr>
            <b/>
            <sz val="9"/>
            <color indexed="81"/>
            <rFont val="Tahoma"/>
            <family val="2"/>
          </rPr>
          <t>Kuang, Rainbow:</t>
        </r>
        <r>
          <rPr>
            <sz val="9"/>
            <color indexed="81"/>
            <rFont val="Tahoma"/>
            <family val="2"/>
          </rPr>
          <t xml:space="preserve">
South total = Export + C816 + C810 (3700CBM/month, based on FY2526 actual, OC HPDC need to increase space allocation)</t>
        </r>
      </text>
    </comment>
  </commentList>
</comments>
</file>

<file path=xl/sharedStrings.xml><?xml version="1.0" encoding="utf-8"?>
<sst xmlns="http://schemas.openxmlformats.org/spreadsheetml/2006/main" count="1030" uniqueCount="128">
  <si>
    <t>month</t>
  </si>
  <si>
    <t>location</t>
  </si>
  <si>
    <t>peak_date</t>
  </si>
  <si>
    <t>peak_cbm</t>
  </si>
  <si>
    <t>cfr_pct</t>
  </si>
  <si>
    <t>dfc_days</t>
  </si>
  <si>
    <t>2026-06</t>
  </si>
  <si>
    <t>C810</t>
  </si>
  <si>
    <t>2026-06-29</t>
  </si>
  <si>
    <t>C816</t>
  </si>
  <si>
    <t>C866</t>
  </si>
  <si>
    <t>2026-06-30</t>
  </si>
  <si>
    <t>C867</t>
  </si>
  <si>
    <t>D873</t>
  </si>
  <si>
    <t>2026-07</t>
  </si>
  <si>
    <t>2026-07-01</t>
  </si>
  <si>
    <t>2026-07-03</t>
  </si>
  <si>
    <t>2026-08</t>
  </si>
  <si>
    <t>2026-08-01</t>
  </si>
  <si>
    <t>2026-08-07</t>
  </si>
  <si>
    <t>2026-09</t>
  </si>
  <si>
    <t>2026-09-02</t>
  </si>
  <si>
    <t>2026-09-07</t>
  </si>
  <si>
    <t>2026-09-11</t>
  </si>
  <si>
    <t>2026-09-06</t>
  </si>
  <si>
    <t>2026-10</t>
  </si>
  <si>
    <t>2026-10-01</t>
  </si>
  <si>
    <t>2026-10-05</t>
  </si>
  <si>
    <t>2026-10-12</t>
  </si>
  <si>
    <t>2026-10-10</t>
  </si>
  <si>
    <t>shipment_qty</t>
  </si>
  <si>
    <t>order_qty</t>
  </si>
  <si>
    <t>cfr</t>
  </si>
  <si>
    <t>2026-11</t>
  </si>
  <si>
    <t>peak_inventory_qty</t>
  </si>
  <si>
    <t>peak_week</t>
  </si>
  <si>
    <t>weekly_forecast_qty</t>
  </si>
  <si>
    <t>daily_avg_forecast_qty</t>
  </si>
  <si>
    <t>2026-08-06</t>
  </si>
  <si>
    <t>2026-09-01</t>
  </si>
  <si>
    <t>2026-09-26</t>
  </si>
  <si>
    <t>2026-10-16</t>
  </si>
  <si>
    <t>category_en</t>
  </si>
  <si>
    <t>PCC</t>
  </si>
  <si>
    <t>Hair</t>
  </si>
  <si>
    <t>Baby</t>
  </si>
  <si>
    <t>Oral</t>
  </si>
  <si>
    <t>Fem</t>
  </si>
  <si>
    <t>Fabric</t>
  </si>
  <si>
    <t>Shave</t>
  </si>
  <si>
    <t>Skin</t>
  </si>
  <si>
    <t>Home</t>
  </si>
  <si>
    <t>2026-07-02</t>
  </si>
  <si>
    <t>2026-07-04</t>
  </si>
  <si>
    <t>2026-07-31</t>
  </si>
  <si>
    <t>2026-07-12</t>
  </si>
  <si>
    <t>2026-08-30</t>
  </si>
  <si>
    <t>2026-08-04</t>
  </si>
  <si>
    <t>2026-08-14</t>
  </si>
  <si>
    <t>2026-08-31</t>
  </si>
  <si>
    <t>2026-09-09</t>
  </si>
  <si>
    <t>2026-09-28</t>
  </si>
  <si>
    <t>2026-09-27</t>
  </si>
  <si>
    <t>2026-10-08</t>
  </si>
  <si>
    <t>2026-10-02</t>
  </si>
  <si>
    <t>2026-10-15</t>
  </si>
  <si>
    <t>2026-07-11</t>
  </si>
  <si>
    <t>2026-07-22</t>
  </si>
  <si>
    <t>2026-07-06</t>
  </si>
  <si>
    <t>2026-07-07</t>
  </si>
  <si>
    <t>2026-08-03</t>
  </si>
  <si>
    <t>2026-08-09</t>
  </si>
  <si>
    <t>2026-08-08</t>
  </si>
  <si>
    <t>2026-08-02</t>
  </si>
  <si>
    <t>2026-08-23</t>
  </si>
  <si>
    <t>2026-08-17</t>
  </si>
  <si>
    <t>2026-09-30</t>
  </si>
  <si>
    <t>2026-09-16</t>
  </si>
  <si>
    <t>2026-09-10</t>
  </si>
  <si>
    <t>2026-09-04</t>
  </si>
  <si>
    <t>2026-09-18</t>
  </si>
  <si>
    <t>2026-09-25</t>
  </si>
  <si>
    <t>2026-09-29</t>
  </si>
  <si>
    <t>2026-10-04</t>
  </si>
  <si>
    <t>2026-10-07</t>
  </si>
  <si>
    <t>2026-10-18</t>
  </si>
  <si>
    <t>2026-10-17</t>
  </si>
  <si>
    <t>Total</t>
  </si>
  <si>
    <t>with UPI</t>
  </si>
  <si>
    <t>BU</t>
  </si>
  <si>
    <t>DC</t>
  </si>
  <si>
    <t>DC Name</t>
  </si>
  <si>
    <t>DC Type</t>
    <phoneticPr fontId="0" type="noConversion"/>
  </si>
  <si>
    <t>Version</t>
    <phoneticPr fontId="0" type="noConversion"/>
  </si>
  <si>
    <t>Baby Care</t>
  </si>
  <si>
    <t>South total</t>
    <phoneticPr fontId="0" type="noConversion"/>
  </si>
  <si>
    <t>RDC</t>
    <phoneticPr fontId="0" type="noConversion"/>
  </si>
  <si>
    <t>Fabric Care</t>
  </si>
  <si>
    <t>Fem Care</t>
  </si>
  <si>
    <t>Hair Care</t>
  </si>
  <si>
    <t>Oral Care</t>
  </si>
  <si>
    <t>Personal Cleansing</t>
  </si>
  <si>
    <t>Shave Care</t>
  </si>
  <si>
    <t>Skin Care</t>
  </si>
  <si>
    <t>BU Oct booking</t>
  </si>
  <si>
    <t>Calendar Day</t>
  </si>
  <si>
    <t>Subsector</t>
  </si>
  <si>
    <t>Safety</t>
  </si>
  <si>
    <t>Frozen</t>
  </si>
  <si>
    <t>UPI</t>
  </si>
  <si>
    <t>Cycle</t>
  </si>
  <si>
    <t>APPLIANCES</t>
  </si>
  <si>
    <t>BABYCARE</t>
  </si>
  <si>
    <t>FABRICCARE</t>
  </si>
  <si>
    <t>FEMCARE</t>
  </si>
  <si>
    <t>HAIRCARE</t>
  </si>
  <si>
    <t>HOMECARE</t>
  </si>
  <si>
    <t>PERSONALCR</t>
  </si>
  <si>
    <t>SHAVECARE</t>
  </si>
  <si>
    <t>SKINCARE</t>
  </si>
  <si>
    <t>Situational cycle</t>
  </si>
  <si>
    <t>ORALCARE</t>
  </si>
  <si>
    <t>1-situational cycle</t>
  </si>
  <si>
    <t>Total inventory</t>
  </si>
  <si>
    <t>Safety Stock</t>
  </si>
  <si>
    <t>Parameter driven cycle</t>
  </si>
  <si>
    <t>Safety + supply cycle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</si>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</sst>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.5"/>
      <color theme="1"/>
      <name val="Calibri"/>
      <family val="2"/>
    </font>
    <font>
      <sz val="10.5"/>
      <color theme="1"/>
      <name val="Calibri"/>
      <family val="2"/>
    </font>
    <font>
      <sz val="10.5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Aptos Narrow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" fontId="0" fillId="0" borderId="0" xfId="0" applyNumberFormat="1"/>
    <xf numFmtId="0" fontId="5" fillId="0" borderId="1" xfId="0" applyFont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" fontId="7" fillId="3" borderId="1" xfId="0" applyNumberFormat="1" applyFont="1" applyFill="1" applyBorder="1" applyAlignment="1">
      <alignment horizontal="right" vertical="center" wrapText="1" indent="2"/>
    </xf>
    <xf numFmtId="1" fontId="8" fillId="3" borderId="1" xfId="0" applyNumberFormat="1" applyFont="1" applyFill="1" applyBorder="1" applyAlignment="1">
      <alignment horizontal="right" vertical="center" wrapText="1" indent="2"/>
    </xf>
    <xf numFmtId="1" fontId="7" fillId="3" borderId="1" xfId="0" applyNumberFormat="1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 wrapText="1"/>
    </xf>
    <xf numFmtId="1" fontId="8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167" fontId="11" fillId="0" borderId="0" xfId="1" applyNumberFormat="1" applyFont="1"/>
    <xf numFmtId="0" fontId="12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" fillId="0" borderId="1" xfId="0" applyFont="1" applyBorder="1" applyAlignment="1">
      <alignment vertical="top"/>
    </xf>
    <xf numFmtId="1" fontId="0" fillId="0" borderId="0" xfId="0" applyNumberFormat="1" applyAlignment="1"/>
    <xf numFmtId="0" fontId="0" fillId="0" borderId="0" xfId="0" applyAlignment="1"/>
    <xf numFmtId="9" fontId="0" fillId="0" borderId="0" xfId="0" applyNumberFormat="1" applyAlignment="1"/>
    <xf numFmtId="9" fontId="0" fillId="0" borderId="0" xfId="2" applyFont="1" applyAlignment="1"/>
    <xf numFmtId="0" fontId="1" fillId="0" borderId="4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1" fontId="14" fillId="3" borderId="14" xfId="0" applyNumberFormat="1" applyFont="1" applyFill="1" applyBorder="1" applyAlignment="1">
      <alignment horizontal="center" vertical="center" wrapText="1"/>
    </xf>
    <xf numFmtId="1" fontId="14" fillId="3" borderId="14" xfId="0" applyNumberFormat="1" applyFont="1" applyFill="1" applyBorder="1" applyAlignment="1">
      <alignment horizontal="center" vertical="center"/>
    </xf>
    <xf numFmtId="1" fontId="14" fillId="0" borderId="14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4" borderId="9" xfId="0" applyNumberForma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" fontId="0" fillId="4" borderId="6" xfId="0" applyNumberFormat="1" applyFill="1" applyBorder="1" applyAlignment="1">
      <alignment horizontal="center" vertical="center"/>
    </xf>
    <xf numFmtId="1" fontId="0" fillId="4" borderId="7" xfId="0" applyNumberForma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1" fontId="3" fillId="5" borderId="14" xfId="0" applyNumberFormat="1" applyFont="1" applyFill="1" applyBorder="1" applyAlignment="1">
      <alignment horizontal="center" vertical="center"/>
    </xf>
    <xf numFmtId="1" fontId="3" fillId="5" borderId="15" xfId="0" applyNumberFormat="1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1" fontId="3" fillId="6" borderId="9" xfId="0" applyNumberFormat="1" applyFont="1" applyFill="1" applyBorder="1" applyAlignment="1">
      <alignment horizontal="center" vertical="center"/>
    </xf>
    <xf numFmtId="1" fontId="13" fillId="0" borderId="14" xfId="1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activeCell="G19" sqref="G19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17792028.289999999</v>
      </c>
      <c r="E2">
        <v>92.95</v>
      </c>
      <c r="F2">
        <v>72.89</v>
      </c>
    </row>
    <row r="3" spans="1:6" x14ac:dyDescent="0.3">
      <c r="A3" t="s">
        <v>6</v>
      </c>
      <c r="B3" t="s">
        <v>9</v>
      </c>
      <c r="C3" t="s">
        <v>8</v>
      </c>
      <c r="D3">
        <v>49487549.189999998</v>
      </c>
      <c r="E3">
        <v>93.46</v>
      </c>
      <c r="F3">
        <v>47.63</v>
      </c>
    </row>
    <row r="4" spans="1:6" x14ac:dyDescent="0.3">
      <c r="A4" t="s">
        <v>6</v>
      </c>
      <c r="B4" t="s">
        <v>10</v>
      </c>
      <c r="C4" t="s">
        <v>11</v>
      </c>
      <c r="D4">
        <v>2952338.75</v>
      </c>
      <c r="E4">
        <v>63.19</v>
      </c>
      <c r="F4">
        <v>61.32</v>
      </c>
    </row>
    <row r="5" spans="1:6" x14ac:dyDescent="0.3">
      <c r="A5" t="s">
        <v>6</v>
      </c>
      <c r="B5" t="s">
        <v>12</v>
      </c>
      <c r="C5" t="s">
        <v>11</v>
      </c>
      <c r="D5">
        <v>558654.11</v>
      </c>
      <c r="E5">
        <v>69.819999999999993</v>
      </c>
      <c r="F5">
        <v>28.76</v>
      </c>
    </row>
    <row r="6" spans="1:6" x14ac:dyDescent="0.3">
      <c r="A6" t="s">
        <v>6</v>
      </c>
      <c r="B6" t="s">
        <v>13</v>
      </c>
      <c r="C6" t="s">
        <v>11</v>
      </c>
      <c r="D6">
        <v>1624404.42</v>
      </c>
      <c r="E6">
        <v>59.12</v>
      </c>
      <c r="F6">
        <v>40.630000000000003</v>
      </c>
    </row>
    <row r="7" spans="1:6" x14ac:dyDescent="0.3">
      <c r="A7" t="s">
        <v>14</v>
      </c>
      <c r="B7" t="s">
        <v>7</v>
      </c>
      <c r="C7" t="s">
        <v>15</v>
      </c>
      <c r="D7">
        <v>18681956.960000001</v>
      </c>
      <c r="E7">
        <v>96.07</v>
      </c>
      <c r="F7">
        <v>75.47</v>
      </c>
    </row>
    <row r="8" spans="1:6" x14ac:dyDescent="0.3">
      <c r="A8" t="s">
        <v>14</v>
      </c>
      <c r="B8" t="s">
        <v>9</v>
      </c>
      <c r="C8" t="s">
        <v>16</v>
      </c>
      <c r="D8">
        <v>49570566.079999998</v>
      </c>
      <c r="E8">
        <v>96.72</v>
      </c>
      <c r="F8">
        <v>47.72</v>
      </c>
    </row>
    <row r="9" spans="1:6" x14ac:dyDescent="0.3">
      <c r="A9" t="s">
        <v>14</v>
      </c>
      <c r="B9" t="s">
        <v>10</v>
      </c>
      <c r="C9" t="s">
        <v>15</v>
      </c>
      <c r="D9">
        <v>2961826.2</v>
      </c>
      <c r="E9">
        <v>74.5</v>
      </c>
      <c r="F9">
        <v>61.61</v>
      </c>
    </row>
    <row r="10" spans="1:6" x14ac:dyDescent="0.3">
      <c r="A10" t="s">
        <v>14</v>
      </c>
      <c r="B10" t="s">
        <v>12</v>
      </c>
      <c r="C10" t="s">
        <v>15</v>
      </c>
      <c r="D10">
        <v>541679.09</v>
      </c>
      <c r="E10">
        <v>75.84</v>
      </c>
      <c r="F10">
        <v>28.02</v>
      </c>
    </row>
    <row r="11" spans="1:6" x14ac:dyDescent="0.3">
      <c r="A11" t="s">
        <v>14</v>
      </c>
      <c r="B11" t="s">
        <v>13</v>
      </c>
      <c r="C11" t="s">
        <v>15</v>
      </c>
      <c r="D11">
        <v>1619130.6</v>
      </c>
      <c r="E11">
        <v>79.64</v>
      </c>
      <c r="F11">
        <v>40.47</v>
      </c>
    </row>
    <row r="12" spans="1:6" x14ac:dyDescent="0.3">
      <c r="A12" t="s">
        <v>17</v>
      </c>
      <c r="B12" t="s">
        <v>7</v>
      </c>
      <c r="C12" t="s">
        <v>18</v>
      </c>
      <c r="D12">
        <v>15325519.32</v>
      </c>
      <c r="E12">
        <v>94.64</v>
      </c>
      <c r="F12">
        <v>53.99</v>
      </c>
    </row>
    <row r="13" spans="1:6" x14ac:dyDescent="0.3">
      <c r="A13" t="s">
        <v>17</v>
      </c>
      <c r="B13" t="s">
        <v>9</v>
      </c>
      <c r="C13" t="s">
        <v>19</v>
      </c>
      <c r="D13">
        <v>39623361.030000001</v>
      </c>
      <c r="E13">
        <v>90.9</v>
      </c>
      <c r="F13">
        <v>34.24</v>
      </c>
    </row>
    <row r="14" spans="1:6" x14ac:dyDescent="0.3">
      <c r="A14" t="s">
        <v>17</v>
      </c>
      <c r="B14" t="s">
        <v>10</v>
      </c>
      <c r="C14" t="s">
        <v>18</v>
      </c>
      <c r="D14">
        <v>2251845.2000000002</v>
      </c>
      <c r="E14">
        <v>59.83</v>
      </c>
      <c r="F14">
        <v>47.22</v>
      </c>
    </row>
    <row r="15" spans="1:6" x14ac:dyDescent="0.3">
      <c r="A15" t="s">
        <v>17</v>
      </c>
      <c r="B15" t="s">
        <v>12</v>
      </c>
      <c r="C15" t="s">
        <v>18</v>
      </c>
      <c r="D15">
        <v>357453.2</v>
      </c>
      <c r="E15">
        <v>66.53</v>
      </c>
      <c r="F15">
        <v>16.52</v>
      </c>
    </row>
    <row r="16" spans="1:6" x14ac:dyDescent="0.3">
      <c r="A16" t="s">
        <v>17</v>
      </c>
      <c r="B16" t="s">
        <v>13</v>
      </c>
      <c r="C16" t="s">
        <v>18</v>
      </c>
      <c r="D16">
        <v>1249376.8</v>
      </c>
      <c r="E16">
        <v>69.959999999999994</v>
      </c>
      <c r="F16">
        <v>27.47</v>
      </c>
    </row>
    <row r="17" spans="1:6" x14ac:dyDescent="0.3">
      <c r="A17" t="s">
        <v>20</v>
      </c>
      <c r="B17" t="s">
        <v>7</v>
      </c>
      <c r="C17" t="s">
        <v>21</v>
      </c>
      <c r="D17">
        <v>14095575.68</v>
      </c>
      <c r="E17">
        <v>92.16</v>
      </c>
      <c r="F17">
        <v>52.69</v>
      </c>
    </row>
    <row r="18" spans="1:6" x14ac:dyDescent="0.3">
      <c r="A18" t="s">
        <v>20</v>
      </c>
      <c r="B18" t="s">
        <v>9</v>
      </c>
      <c r="C18" t="s">
        <v>22</v>
      </c>
      <c r="D18">
        <v>36310659.740000002</v>
      </c>
      <c r="E18">
        <v>88.06</v>
      </c>
      <c r="F18">
        <v>33.46</v>
      </c>
    </row>
    <row r="19" spans="1:6" x14ac:dyDescent="0.3">
      <c r="A19" t="s">
        <v>20</v>
      </c>
      <c r="B19" t="s">
        <v>10</v>
      </c>
      <c r="C19" t="s">
        <v>23</v>
      </c>
      <c r="D19">
        <v>1910563.75</v>
      </c>
      <c r="E19">
        <v>58.09</v>
      </c>
      <c r="F19">
        <v>44.87</v>
      </c>
    </row>
    <row r="20" spans="1:6" x14ac:dyDescent="0.3">
      <c r="A20" t="s">
        <v>20</v>
      </c>
      <c r="B20" t="s">
        <v>12</v>
      </c>
      <c r="C20" t="s">
        <v>24</v>
      </c>
      <c r="D20">
        <v>333982.61</v>
      </c>
      <c r="E20">
        <v>62.98</v>
      </c>
      <c r="F20">
        <v>12.04</v>
      </c>
    </row>
    <row r="21" spans="1:6" x14ac:dyDescent="0.3">
      <c r="A21" t="s">
        <v>20</v>
      </c>
      <c r="B21" t="s">
        <v>13</v>
      </c>
      <c r="C21" t="s">
        <v>22</v>
      </c>
      <c r="D21">
        <v>1065114.54</v>
      </c>
      <c r="E21">
        <v>66.16</v>
      </c>
      <c r="F21">
        <v>24.06</v>
      </c>
    </row>
    <row r="22" spans="1:6" x14ac:dyDescent="0.3">
      <c r="A22" t="s">
        <v>25</v>
      </c>
      <c r="B22" t="s">
        <v>7</v>
      </c>
      <c r="C22" t="s">
        <v>26</v>
      </c>
      <c r="D22">
        <v>13830125</v>
      </c>
      <c r="E22">
        <v>87.97</v>
      </c>
      <c r="F22">
        <v>63.54</v>
      </c>
    </row>
    <row r="23" spans="1:6" x14ac:dyDescent="0.3">
      <c r="A23" t="s">
        <v>25</v>
      </c>
      <c r="B23" t="s">
        <v>9</v>
      </c>
      <c r="C23" t="s">
        <v>27</v>
      </c>
      <c r="D23">
        <v>35738560.899999999</v>
      </c>
      <c r="E23">
        <v>81.87</v>
      </c>
      <c r="F23">
        <v>26.05</v>
      </c>
    </row>
    <row r="24" spans="1:6" x14ac:dyDescent="0.3">
      <c r="A24" t="s">
        <v>25</v>
      </c>
      <c r="B24" t="s">
        <v>10</v>
      </c>
      <c r="C24" t="s">
        <v>28</v>
      </c>
      <c r="D24">
        <v>1858349.13</v>
      </c>
      <c r="E24">
        <v>48.5</v>
      </c>
      <c r="F24">
        <v>44.21</v>
      </c>
    </row>
    <row r="25" spans="1:6" x14ac:dyDescent="0.3">
      <c r="A25" t="s">
        <v>25</v>
      </c>
      <c r="B25" t="s">
        <v>12</v>
      </c>
      <c r="C25" t="s">
        <v>29</v>
      </c>
      <c r="D25">
        <v>320619.03999999998</v>
      </c>
      <c r="E25">
        <v>59.21</v>
      </c>
      <c r="F25">
        <v>6.67</v>
      </c>
    </row>
    <row r="26" spans="1:6" x14ac:dyDescent="0.3">
      <c r="A26" t="s">
        <v>25</v>
      </c>
      <c r="B26" t="s">
        <v>13</v>
      </c>
      <c r="C26" t="s">
        <v>26</v>
      </c>
      <c r="D26">
        <v>1035852.46</v>
      </c>
      <c r="E26">
        <v>55.71</v>
      </c>
      <c r="F26">
        <v>25.97</v>
      </c>
    </row>
  </sheetData>
  <pageMargins left="0.75" right="0.75" top="1" bottom="1" header="0.5" footer="0.5"/>
  <headerFooter>
    <oddHeader>&amp;R&amp;"Aptos"&amp;10&amp;K000000 Business Use&amp;1#_x000D_</oddHeader>
  </headerFooter>
  <customProperties>
    <customPr name="Ibp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6</v>
      </c>
      <c r="B2" t="s">
        <v>7</v>
      </c>
      <c r="C2" t="s">
        <v>8</v>
      </c>
      <c r="D2">
        <v>17792028.289999999</v>
      </c>
    </row>
    <row r="3" spans="1:4" x14ac:dyDescent="0.3">
      <c r="A3" t="s">
        <v>6</v>
      </c>
      <c r="B3" t="s">
        <v>9</v>
      </c>
      <c r="C3" t="s">
        <v>8</v>
      </c>
      <c r="D3">
        <v>49487549.189999998</v>
      </c>
    </row>
    <row r="4" spans="1:4" x14ac:dyDescent="0.3">
      <c r="A4" t="s">
        <v>6</v>
      </c>
      <c r="B4" t="s">
        <v>10</v>
      </c>
      <c r="C4" t="s">
        <v>11</v>
      </c>
      <c r="D4">
        <v>2952338.75</v>
      </c>
    </row>
    <row r="5" spans="1:4" x14ac:dyDescent="0.3">
      <c r="A5" t="s">
        <v>6</v>
      </c>
      <c r="B5" t="s">
        <v>12</v>
      </c>
      <c r="C5" t="s">
        <v>11</v>
      </c>
      <c r="D5">
        <v>558654.11</v>
      </c>
    </row>
    <row r="6" spans="1:4" x14ac:dyDescent="0.3">
      <c r="A6" t="s">
        <v>6</v>
      </c>
      <c r="B6" t="s">
        <v>13</v>
      </c>
      <c r="C6" t="s">
        <v>11</v>
      </c>
      <c r="D6">
        <v>1624404.42</v>
      </c>
    </row>
    <row r="7" spans="1:4" x14ac:dyDescent="0.3">
      <c r="A7" t="s">
        <v>14</v>
      </c>
      <c r="B7" t="s">
        <v>7</v>
      </c>
      <c r="C7" t="s">
        <v>15</v>
      </c>
      <c r="D7">
        <v>18681956.960000001</v>
      </c>
    </row>
    <row r="8" spans="1:4" x14ac:dyDescent="0.3">
      <c r="A8" t="s">
        <v>14</v>
      </c>
      <c r="B8" t="s">
        <v>9</v>
      </c>
      <c r="C8" t="s">
        <v>16</v>
      </c>
      <c r="D8">
        <v>49570566.079999998</v>
      </c>
    </row>
    <row r="9" spans="1:4" x14ac:dyDescent="0.3">
      <c r="A9" t="s">
        <v>14</v>
      </c>
      <c r="B9" t="s">
        <v>10</v>
      </c>
      <c r="C9" t="s">
        <v>15</v>
      </c>
      <c r="D9">
        <v>2961826.2</v>
      </c>
    </row>
    <row r="10" spans="1:4" x14ac:dyDescent="0.3">
      <c r="A10" t="s">
        <v>14</v>
      </c>
      <c r="B10" t="s">
        <v>12</v>
      </c>
      <c r="C10" t="s">
        <v>15</v>
      </c>
      <c r="D10">
        <v>541679.09</v>
      </c>
    </row>
    <row r="11" spans="1:4" x14ac:dyDescent="0.3">
      <c r="A11" t="s">
        <v>14</v>
      </c>
      <c r="B11" t="s">
        <v>13</v>
      </c>
      <c r="C11" t="s">
        <v>15</v>
      </c>
      <c r="D11">
        <v>1619130.6</v>
      </c>
    </row>
    <row r="12" spans="1:4" x14ac:dyDescent="0.3">
      <c r="A12" t="s">
        <v>17</v>
      </c>
      <c r="B12" t="s">
        <v>7</v>
      </c>
      <c r="C12" t="s">
        <v>18</v>
      </c>
      <c r="D12">
        <v>15325519.32</v>
      </c>
    </row>
    <row r="13" spans="1:4" x14ac:dyDescent="0.3">
      <c r="A13" t="s">
        <v>17</v>
      </c>
      <c r="B13" t="s">
        <v>9</v>
      </c>
      <c r="C13" t="s">
        <v>19</v>
      </c>
      <c r="D13">
        <v>39623361.030000001</v>
      </c>
    </row>
    <row r="14" spans="1:4" x14ac:dyDescent="0.3">
      <c r="A14" t="s">
        <v>17</v>
      </c>
      <c r="B14" t="s">
        <v>10</v>
      </c>
      <c r="C14" t="s">
        <v>18</v>
      </c>
      <c r="D14">
        <v>2251845.2000000002</v>
      </c>
    </row>
    <row r="15" spans="1:4" x14ac:dyDescent="0.3">
      <c r="A15" t="s">
        <v>17</v>
      </c>
      <c r="B15" t="s">
        <v>12</v>
      </c>
      <c r="C15" t="s">
        <v>18</v>
      </c>
      <c r="D15">
        <v>357453.2</v>
      </c>
    </row>
    <row r="16" spans="1:4" x14ac:dyDescent="0.3">
      <c r="A16" t="s">
        <v>17</v>
      </c>
      <c r="B16" t="s">
        <v>13</v>
      </c>
      <c r="C16" t="s">
        <v>18</v>
      </c>
      <c r="D16">
        <v>1249376.8</v>
      </c>
    </row>
    <row r="17" spans="1:4" x14ac:dyDescent="0.3">
      <c r="A17" t="s">
        <v>20</v>
      </c>
      <c r="B17" t="s">
        <v>7</v>
      </c>
      <c r="C17" t="s">
        <v>21</v>
      </c>
      <c r="D17">
        <v>14095575.68</v>
      </c>
    </row>
    <row r="18" spans="1:4" x14ac:dyDescent="0.3">
      <c r="A18" t="s">
        <v>20</v>
      </c>
      <c r="B18" t="s">
        <v>9</v>
      </c>
      <c r="C18" t="s">
        <v>22</v>
      </c>
      <c r="D18">
        <v>36310659.740000002</v>
      </c>
    </row>
    <row r="19" spans="1:4" x14ac:dyDescent="0.3">
      <c r="A19" t="s">
        <v>20</v>
      </c>
      <c r="B19" t="s">
        <v>10</v>
      </c>
      <c r="C19" t="s">
        <v>23</v>
      </c>
      <c r="D19">
        <v>1910563.75</v>
      </c>
    </row>
    <row r="20" spans="1:4" x14ac:dyDescent="0.3">
      <c r="A20" t="s">
        <v>20</v>
      </c>
      <c r="B20" t="s">
        <v>12</v>
      </c>
      <c r="C20" t="s">
        <v>24</v>
      </c>
      <c r="D20">
        <v>333982.61</v>
      </c>
    </row>
    <row r="21" spans="1:4" x14ac:dyDescent="0.3">
      <c r="A21" t="s">
        <v>20</v>
      </c>
      <c r="B21" t="s">
        <v>13</v>
      </c>
      <c r="C21" t="s">
        <v>22</v>
      </c>
      <c r="D21">
        <v>1065114.54</v>
      </c>
    </row>
    <row r="22" spans="1:4" x14ac:dyDescent="0.3">
      <c r="A22" t="s">
        <v>25</v>
      </c>
      <c r="B22" t="s">
        <v>7</v>
      </c>
      <c r="C22" t="s">
        <v>26</v>
      </c>
      <c r="D22">
        <v>13830125</v>
      </c>
    </row>
    <row r="23" spans="1:4" x14ac:dyDescent="0.3">
      <c r="A23" t="s">
        <v>25</v>
      </c>
      <c r="B23" t="s">
        <v>9</v>
      </c>
      <c r="C23" t="s">
        <v>27</v>
      </c>
      <c r="D23">
        <v>35738560.899999999</v>
      </c>
    </row>
    <row r="24" spans="1:4" x14ac:dyDescent="0.3">
      <c r="A24" t="s">
        <v>25</v>
      </c>
      <c r="B24" t="s">
        <v>10</v>
      </c>
      <c r="C24" t="s">
        <v>28</v>
      </c>
      <c r="D24">
        <v>1858349.13</v>
      </c>
    </row>
    <row r="25" spans="1:4" x14ac:dyDescent="0.3">
      <c r="A25" t="s">
        <v>25</v>
      </c>
      <c r="B25" t="s">
        <v>12</v>
      </c>
      <c r="C25" t="s">
        <v>29</v>
      </c>
      <c r="D25">
        <v>320619.03999999998</v>
      </c>
    </row>
    <row r="26" spans="1:4" x14ac:dyDescent="0.3">
      <c r="A26" t="s">
        <v>25</v>
      </c>
      <c r="B26" t="s">
        <v>13</v>
      </c>
      <c r="C26" t="s">
        <v>26</v>
      </c>
      <c r="D26">
        <v>1035852.46</v>
      </c>
    </row>
  </sheetData>
  <pageMargins left="0.75" right="0.75" top="1" bottom="1" header="0.5" footer="0.5"/>
  <headerFooter>
    <oddHeader>&amp;R&amp;"Aptos"&amp;10&amp;K000000 Business Use&amp;1#_x000D_</oddHeader>
  </headerFooter>
  <customProperties>
    <customPr name="Ibp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selection activeCell="I32" sqref="I32"/>
    </sheetView>
  </sheetViews>
  <sheetFormatPr defaultRowHeight="14.4" x14ac:dyDescent="0.3"/>
  <cols>
    <col min="7" max="7" width="12" bestFit="1" customWidth="1"/>
  </cols>
  <sheetData>
    <row r="1" spans="1:8" x14ac:dyDescent="0.3">
      <c r="A1" s="1" t="s">
        <v>0</v>
      </c>
      <c r="B1" s="1" t="s">
        <v>7</v>
      </c>
      <c r="C1" s="1" t="s">
        <v>9</v>
      </c>
      <c r="D1" s="1" t="s">
        <v>10</v>
      </c>
      <c r="E1" s="1" t="s">
        <v>12</v>
      </c>
      <c r="F1" s="1" t="s">
        <v>13</v>
      </c>
      <c r="G1" s="2" t="s">
        <v>87</v>
      </c>
      <c r="H1" s="2" t="s">
        <v>88</v>
      </c>
    </row>
    <row r="2" spans="1:8" x14ac:dyDescent="0.3">
      <c r="A2" t="s">
        <v>6</v>
      </c>
      <c r="B2">
        <v>17792.028289999998</v>
      </c>
      <c r="C2">
        <v>49487.549189999998</v>
      </c>
      <c r="D2">
        <v>2952.3387499999999</v>
      </c>
      <c r="E2">
        <v>558.65410999999995</v>
      </c>
      <c r="F2">
        <v>1624.4044199999998</v>
      </c>
      <c r="G2">
        <f>SUM(B2:F2)</f>
        <v>72414.974759999997</v>
      </c>
    </row>
    <row r="3" spans="1:8" x14ac:dyDescent="0.3">
      <c r="A3" t="s">
        <v>14</v>
      </c>
      <c r="B3">
        <v>18681.95696</v>
      </c>
      <c r="C3">
        <v>49570.566079999997</v>
      </c>
      <c r="D3">
        <v>2961.8262</v>
      </c>
      <c r="E3">
        <v>541.67908999999997</v>
      </c>
      <c r="F3">
        <v>1619.1306000000002</v>
      </c>
      <c r="G3">
        <f t="shared" ref="G3:G6" si="0">SUM(B3:F3)</f>
        <v>73375.158930000005</v>
      </c>
    </row>
    <row r="4" spans="1:8" x14ac:dyDescent="0.3">
      <c r="A4" t="s">
        <v>17</v>
      </c>
      <c r="B4">
        <v>15325.519319999999</v>
      </c>
      <c r="C4">
        <v>39623.36103</v>
      </c>
      <c r="D4">
        <v>2251.8452000000002</v>
      </c>
      <c r="E4">
        <v>357.45320000000004</v>
      </c>
      <c r="F4">
        <v>1249.3768</v>
      </c>
      <c r="G4">
        <f t="shared" si="0"/>
        <v>58807.555550000005</v>
      </c>
      <c r="H4">
        <f>G4/60%*70%</f>
        <v>68608.814808333336</v>
      </c>
    </row>
    <row r="5" spans="1:8" x14ac:dyDescent="0.3">
      <c r="A5" t="s">
        <v>20</v>
      </c>
      <c r="B5">
        <v>14095.57568</v>
      </c>
      <c r="C5">
        <v>36310.659740000003</v>
      </c>
      <c r="D5">
        <v>1910.56375</v>
      </c>
      <c r="E5">
        <v>333.98260999999997</v>
      </c>
      <c r="F5">
        <v>1065.11454</v>
      </c>
      <c r="G5">
        <f t="shared" si="0"/>
        <v>53715.896320000007</v>
      </c>
      <c r="H5">
        <f t="shared" ref="H5:H6" si="1">G5/60%*70%</f>
        <v>62668.545706666679</v>
      </c>
    </row>
    <row r="6" spans="1:8" x14ac:dyDescent="0.3">
      <c r="A6" t="s">
        <v>25</v>
      </c>
      <c r="B6">
        <v>13830.125</v>
      </c>
      <c r="C6">
        <v>35738.560899999997</v>
      </c>
      <c r="D6">
        <v>1858.3491299999998</v>
      </c>
      <c r="E6">
        <v>320.61903999999998</v>
      </c>
      <c r="F6">
        <v>1035.8524600000001</v>
      </c>
      <c r="G6">
        <f t="shared" si="0"/>
        <v>52783.506529999999</v>
      </c>
      <c r="H6">
        <f t="shared" si="1"/>
        <v>61580.757618333329</v>
      </c>
    </row>
  </sheetData>
  <pageMargins left="0.75" right="0.75" top="1" bottom="1" header="0.5" footer="0.5"/>
  <headerFooter>
    <oddHeader>&amp;R&amp;"Aptos"&amp;10&amp;K000000 Business Use&amp;1#_x000D_</oddHeader>
  </headerFooter>
  <customProperties>
    <customPr name="IbpWorksheetKeyString_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7"/>
  <sheetViews>
    <sheetView tabSelected="1" topLeftCell="A4" zoomScaleNormal="100" workbookViewId="0">
      <selection activeCell="B21" sqref="B21"/>
    </sheetView>
  </sheetViews>
  <sheetFormatPr defaultRowHeight="14.4" x14ac:dyDescent="0.3"/>
  <cols>
    <col min="1" max="1" width="21" customWidth="1"/>
    <col min="2" max="4" width="13.21875" style="20" customWidth="1"/>
    <col min="5" max="5" width="14.21875" style="20" customWidth="1"/>
    <col min="6" max="10" width="13.21875" style="20" customWidth="1"/>
  </cols>
  <sheetData>
    <row r="1" spans="1:23" x14ac:dyDescent="0.3">
      <c r="A1" s="1" t="s">
        <v>0</v>
      </c>
      <c r="B1" s="18" t="s">
        <v>45</v>
      </c>
      <c r="C1" s="18" t="s">
        <v>48</v>
      </c>
      <c r="D1" s="18" t="s">
        <v>47</v>
      </c>
      <c r="E1" s="18" t="s">
        <v>44</v>
      </c>
      <c r="F1" s="18" t="s">
        <v>51</v>
      </c>
      <c r="G1" s="18" t="s">
        <v>46</v>
      </c>
      <c r="H1" s="18" t="s">
        <v>43</v>
      </c>
      <c r="I1" s="18" t="s">
        <v>49</v>
      </c>
      <c r="J1" s="18" t="s">
        <v>50</v>
      </c>
      <c r="O1" s="4" t="s">
        <v>89</v>
      </c>
      <c r="P1" s="4" t="s">
        <v>90</v>
      </c>
      <c r="Q1" s="4" t="s">
        <v>91</v>
      </c>
      <c r="R1" s="4" t="s">
        <v>92</v>
      </c>
      <c r="S1" s="4" t="s">
        <v>93</v>
      </c>
      <c r="T1" s="5">
        <v>202607</v>
      </c>
      <c r="U1" s="5">
        <v>202608</v>
      </c>
      <c r="V1" s="5">
        <v>202609</v>
      </c>
      <c r="W1" s="5">
        <v>202610</v>
      </c>
    </row>
    <row r="2" spans="1:23" x14ac:dyDescent="0.3">
      <c r="A2" t="s">
        <v>6</v>
      </c>
      <c r="B2" s="19">
        <v>14800.338525499999</v>
      </c>
      <c r="C2" s="19">
        <v>2561.5064631</v>
      </c>
      <c r="D2" s="19">
        <v>3666.0160466000002</v>
      </c>
      <c r="E2" s="19">
        <v>18491.919354499998</v>
      </c>
      <c r="F2" s="19">
        <v>192.96395949999999</v>
      </c>
      <c r="G2" s="19">
        <v>4077.4563754999999</v>
      </c>
      <c r="H2" s="19">
        <v>25773.023230700001</v>
      </c>
      <c r="I2" s="19">
        <v>1574.4244675</v>
      </c>
      <c r="J2" s="19">
        <v>1217.5437875999999</v>
      </c>
      <c r="K2" s="3">
        <f>SUM(B2:J2)</f>
        <v>72355.192210499998</v>
      </c>
      <c r="O2" s="6" t="s">
        <v>94</v>
      </c>
      <c r="P2" s="6" t="s">
        <v>95</v>
      </c>
      <c r="Q2" s="6" t="s">
        <v>95</v>
      </c>
      <c r="R2" s="6" t="s">
        <v>96</v>
      </c>
      <c r="S2" s="6">
        <v>202605</v>
      </c>
      <c r="T2" s="7">
        <v>39580</v>
      </c>
      <c r="U2" s="8">
        <v>38359</v>
      </c>
      <c r="V2" s="8">
        <v>42257</v>
      </c>
      <c r="W2" s="8">
        <v>42005</v>
      </c>
    </row>
    <row r="3" spans="1:23" x14ac:dyDescent="0.3">
      <c r="A3" t="s">
        <v>14</v>
      </c>
      <c r="B3" s="19">
        <v>14603.9651383</v>
      </c>
      <c r="C3" s="19">
        <v>2654.7628361999996</v>
      </c>
      <c r="D3" s="19">
        <v>3573.6678222999999</v>
      </c>
      <c r="E3" s="19">
        <v>20373.003813200001</v>
      </c>
      <c r="F3" s="19">
        <v>192.32044349999998</v>
      </c>
      <c r="G3" s="19">
        <v>5963.8012383000005</v>
      </c>
      <c r="H3" s="19">
        <v>24692.651788899999</v>
      </c>
      <c r="I3" s="19">
        <v>3316.9687935000002</v>
      </c>
      <c r="J3" s="19">
        <v>1238.0712530000001</v>
      </c>
      <c r="K3" s="3">
        <f t="shared" ref="K3:K6" si="0">SUM(B3:J3)</f>
        <v>76609.213127199997</v>
      </c>
      <c r="O3" s="6" t="s">
        <v>97</v>
      </c>
      <c r="P3" s="6" t="s">
        <v>95</v>
      </c>
      <c r="Q3" s="6" t="s">
        <v>95</v>
      </c>
      <c r="R3" s="6" t="s">
        <v>96</v>
      </c>
      <c r="S3" s="6">
        <v>202605</v>
      </c>
      <c r="T3" s="9">
        <v>4157</v>
      </c>
      <c r="U3" s="10">
        <v>4972</v>
      </c>
      <c r="V3" s="10">
        <v>6126</v>
      </c>
      <c r="W3" s="10">
        <v>7033</v>
      </c>
    </row>
    <row r="4" spans="1:23" x14ac:dyDescent="0.3">
      <c r="A4" t="s">
        <v>17</v>
      </c>
      <c r="B4" s="19">
        <v>11852.5877588</v>
      </c>
      <c r="C4" s="19">
        <v>1580.7259437</v>
      </c>
      <c r="D4" s="19">
        <v>2763.8925564000001</v>
      </c>
      <c r="E4" s="19">
        <v>14874.1666878</v>
      </c>
      <c r="F4" s="19">
        <v>172.95158470000001</v>
      </c>
      <c r="G4" s="19">
        <v>6135.9530198000002</v>
      </c>
      <c r="H4" s="19">
        <v>19186.032440000003</v>
      </c>
      <c r="I4" s="19">
        <v>3199.6513221</v>
      </c>
      <c r="J4" s="19">
        <v>1167.1224856000001</v>
      </c>
      <c r="K4" s="3">
        <f t="shared" si="0"/>
        <v>60933.083798899999</v>
      </c>
      <c r="O4" s="6" t="s">
        <v>98</v>
      </c>
      <c r="P4" s="6" t="s">
        <v>95</v>
      </c>
      <c r="Q4" s="6" t="s">
        <v>95</v>
      </c>
      <c r="R4" s="6" t="s">
        <v>96</v>
      </c>
      <c r="S4" s="6">
        <v>202605</v>
      </c>
      <c r="T4" s="11">
        <v>10435</v>
      </c>
      <c r="U4" s="12">
        <v>11281.513625671176</v>
      </c>
      <c r="V4" s="12">
        <v>11843.20310698249</v>
      </c>
      <c r="W4" s="12">
        <v>11401.524868137429</v>
      </c>
    </row>
    <row r="5" spans="1:23" x14ac:dyDescent="0.3">
      <c r="A5" t="s">
        <v>20</v>
      </c>
      <c r="B5" s="19">
        <v>11327.854494699999</v>
      </c>
      <c r="C5" s="19">
        <v>1545.8273458000001</v>
      </c>
      <c r="D5" s="19">
        <v>2827.3504020999999</v>
      </c>
      <c r="E5" s="19">
        <v>13329.106218200001</v>
      </c>
      <c r="F5" s="19">
        <v>155.0259758</v>
      </c>
      <c r="G5" s="19">
        <v>6175.8825876999999</v>
      </c>
      <c r="H5" s="19">
        <v>15159.480929900001</v>
      </c>
      <c r="I5" s="19">
        <v>2962.7260399000002</v>
      </c>
      <c r="J5" s="19">
        <v>1371.3210296</v>
      </c>
      <c r="K5" s="3">
        <f t="shared" si="0"/>
        <v>54854.57502370001</v>
      </c>
      <c r="O5" s="6" t="s">
        <v>99</v>
      </c>
      <c r="P5" s="6" t="s">
        <v>95</v>
      </c>
      <c r="Q5" s="6" t="s">
        <v>95</v>
      </c>
      <c r="R5" s="6" t="s">
        <v>96</v>
      </c>
      <c r="S5" s="6">
        <v>202605</v>
      </c>
      <c r="T5" s="9">
        <v>18816</v>
      </c>
      <c r="U5" s="10">
        <v>18541</v>
      </c>
      <c r="V5" s="10">
        <v>19546</v>
      </c>
      <c r="W5" s="10">
        <v>18858</v>
      </c>
    </row>
    <row r="6" spans="1:23" x14ac:dyDescent="0.3">
      <c r="A6" t="s">
        <v>25</v>
      </c>
      <c r="B6" s="19">
        <v>11854.9673822</v>
      </c>
      <c r="C6" s="19">
        <v>1569.4808044000001</v>
      </c>
      <c r="D6" s="19">
        <v>2834.1554807000002</v>
      </c>
      <c r="E6" s="19">
        <v>12914.254797</v>
      </c>
      <c r="F6" s="19">
        <v>148.881809</v>
      </c>
      <c r="G6" s="19">
        <v>5963.5456759999997</v>
      </c>
      <c r="H6" s="19">
        <v>14730.2217962</v>
      </c>
      <c r="I6" s="19">
        <v>2762.8686376000001</v>
      </c>
      <c r="J6" s="19">
        <v>1246.3123248000002</v>
      </c>
      <c r="K6" s="3">
        <f t="shared" si="0"/>
        <v>54024.688707899993</v>
      </c>
      <c r="O6" s="13" t="s">
        <v>100</v>
      </c>
      <c r="P6" s="13" t="s">
        <v>95</v>
      </c>
      <c r="Q6" s="13" t="s">
        <v>95</v>
      </c>
      <c r="R6" s="13" t="s">
        <v>96</v>
      </c>
      <c r="S6" s="6">
        <v>202605</v>
      </c>
      <c r="T6" s="14">
        <v>11872.352362306963</v>
      </c>
      <c r="U6" s="14">
        <v>11640.26160049839</v>
      </c>
      <c r="V6" s="14">
        <v>11449.986587442221</v>
      </c>
      <c r="W6" s="14">
        <v>10918.744834927127</v>
      </c>
    </row>
    <row r="7" spans="1:23" x14ac:dyDescent="0.3">
      <c r="O7" s="13" t="s">
        <v>101</v>
      </c>
      <c r="P7" s="13" t="s">
        <v>95</v>
      </c>
      <c r="Q7" s="13" t="s">
        <v>95</v>
      </c>
      <c r="R7" s="13" t="s">
        <v>96</v>
      </c>
      <c r="S7" s="6">
        <v>202605</v>
      </c>
      <c r="T7" s="9">
        <v>22501.930721089586</v>
      </c>
      <c r="U7" s="10">
        <v>22261.64328191811</v>
      </c>
      <c r="V7" s="10">
        <v>21379.046017615088</v>
      </c>
      <c r="W7" s="10">
        <v>20388.699487162034</v>
      </c>
    </row>
    <row r="8" spans="1:23" x14ac:dyDescent="0.3">
      <c r="O8" s="13" t="s">
        <v>102</v>
      </c>
      <c r="P8" s="13" t="s">
        <v>95</v>
      </c>
      <c r="Q8" s="13" t="s">
        <v>95</v>
      </c>
      <c r="R8" s="13" t="s">
        <v>96</v>
      </c>
      <c r="S8" s="6">
        <v>202605</v>
      </c>
      <c r="T8" s="15">
        <v>2138.2749317701891</v>
      </c>
      <c r="U8" s="15">
        <v>2080.7083602575922</v>
      </c>
      <c r="V8" s="15">
        <v>2130.4023672268922</v>
      </c>
      <c r="W8" s="15">
        <v>2128.7100586979764</v>
      </c>
    </row>
    <row r="9" spans="1:23" x14ac:dyDescent="0.3">
      <c r="A9" t="s">
        <v>122</v>
      </c>
      <c r="B9" s="21">
        <f>1-G29</f>
        <v>0.32302065274542635</v>
      </c>
      <c r="C9" s="21">
        <f>1-G30</f>
        <v>0.71688413381484839</v>
      </c>
      <c r="D9" s="21">
        <f>1-G31</f>
        <v>0.51004074008511635</v>
      </c>
      <c r="E9" s="21">
        <f>1-G32</f>
        <v>0.43097978796472936</v>
      </c>
      <c r="F9" s="21">
        <f>1-G33</f>
        <v>0.9115623868610736</v>
      </c>
      <c r="G9" s="21">
        <f>1-G37</f>
        <v>0.6284718798196417</v>
      </c>
      <c r="H9" s="21">
        <f>1-G34</f>
        <v>0.52320075563227331</v>
      </c>
      <c r="I9" s="21">
        <f>1-G35</f>
        <v>0.62781031725729297</v>
      </c>
      <c r="J9" s="21">
        <f>1-G36</f>
        <v>0.48606131425622023</v>
      </c>
      <c r="O9" s="13" t="s">
        <v>103</v>
      </c>
      <c r="P9" s="13" t="s">
        <v>95</v>
      </c>
      <c r="Q9" s="13" t="s">
        <v>95</v>
      </c>
      <c r="R9" s="13" t="s">
        <v>96</v>
      </c>
      <c r="S9" s="6">
        <v>202605</v>
      </c>
      <c r="T9" s="16">
        <v>3613</v>
      </c>
      <c r="U9" s="17">
        <v>4088</v>
      </c>
      <c r="V9" s="17">
        <v>3991</v>
      </c>
      <c r="W9" s="17">
        <v>3739</v>
      </c>
    </row>
    <row r="11" spans="1:23" x14ac:dyDescent="0.3">
      <c r="A11" s="32" t="s">
        <v>127</v>
      </c>
      <c r="B11" s="23" t="s">
        <v>45</v>
      </c>
      <c r="C11" s="23" t="s">
        <v>48</v>
      </c>
      <c r="D11" s="23" t="s">
        <v>47</v>
      </c>
      <c r="E11" s="23" t="s">
        <v>44</v>
      </c>
      <c r="F11" s="23" t="s">
        <v>51</v>
      </c>
      <c r="G11" s="23" t="s">
        <v>46</v>
      </c>
      <c r="H11" s="23" t="s">
        <v>43</v>
      </c>
      <c r="I11" s="23" t="s">
        <v>49</v>
      </c>
      <c r="J11" s="23" t="s">
        <v>50</v>
      </c>
    </row>
    <row r="12" spans="1:23" x14ac:dyDescent="0.3">
      <c r="A12" s="33" t="s">
        <v>125</v>
      </c>
      <c r="B12" s="34">
        <f>B4-B13</f>
        <v>6529.5877588000003</v>
      </c>
      <c r="C12" s="34">
        <f>C4-C13</f>
        <v>183.72594370000002</v>
      </c>
      <c r="D12" s="34">
        <f>D4-D13</f>
        <v>995.8925564000001</v>
      </c>
      <c r="E12" s="34">
        <f>E4-E13</f>
        <v>2008.1666877999996</v>
      </c>
      <c r="F12" s="34"/>
      <c r="G12" s="34">
        <f>G4-G13</f>
        <v>3084.9530198000002</v>
      </c>
      <c r="H12" s="34">
        <f>H4-H13</f>
        <v>3552.0324400000027</v>
      </c>
      <c r="I12" s="34">
        <f>I4-I13</f>
        <v>582.65132210000002</v>
      </c>
      <c r="J12" s="35">
        <f>J4-J13</f>
        <v>123.12248560000012</v>
      </c>
    </row>
    <row r="13" spans="1:23" ht="15" thickBot="1" x14ac:dyDescent="0.35">
      <c r="A13" s="36" t="s">
        <v>124</v>
      </c>
      <c r="B13" s="37">
        <v>5323</v>
      </c>
      <c r="C13" s="37">
        <v>1397</v>
      </c>
      <c r="D13" s="37">
        <v>1768</v>
      </c>
      <c r="E13" s="37">
        <v>12866</v>
      </c>
      <c r="F13" s="37"/>
      <c r="G13" s="37">
        <v>3051</v>
      </c>
      <c r="H13" s="37">
        <v>15634</v>
      </c>
      <c r="I13" s="37">
        <v>2617</v>
      </c>
      <c r="J13" s="38">
        <v>1044</v>
      </c>
    </row>
    <row r="14" spans="1:23" ht="15" thickBot="1" x14ac:dyDescent="0.35">
      <c r="A14" s="39" t="s">
        <v>109</v>
      </c>
      <c r="B14" s="40">
        <f>B17*5.2%</f>
        <v>1908.417615514612</v>
      </c>
      <c r="C14" s="40">
        <f>C17*7.6%</f>
        <v>166.38747533671449</v>
      </c>
      <c r="D14" s="40">
        <f>D17*7.2%</f>
        <v>400.08410813682519</v>
      </c>
      <c r="E14" s="40">
        <f>E17*7.4%</f>
        <v>2217.4006337768428</v>
      </c>
      <c r="F14" s="40"/>
      <c r="G14" s="40">
        <f>G17*15%</f>
        <v>1423.3442738228985</v>
      </c>
      <c r="H14" s="40">
        <f>H17*12.3%</f>
        <v>3462.948517234212</v>
      </c>
      <c r="I14" s="40">
        <f>I17*7.1%</f>
        <v>312.45691234667464</v>
      </c>
      <c r="J14" s="41">
        <f>J17*28.9%</f>
        <v>741.02639173899377</v>
      </c>
    </row>
    <row r="15" spans="1:23" ht="13.8" customHeight="1" thickBot="1" x14ac:dyDescent="0.35">
      <c r="A15" s="42" t="s">
        <v>126</v>
      </c>
      <c r="B15" s="43">
        <f>B17-B16</f>
        <v>13761.005374314613</v>
      </c>
      <c r="C15" s="43">
        <f>C17-C16</f>
        <v>1747.1134190367145</v>
      </c>
      <c r="D15" s="43">
        <f>D17-D16</f>
        <v>3163.9766645368254</v>
      </c>
      <c r="E15" s="43">
        <f>E17-E16</f>
        <v>17091.56732157684</v>
      </c>
      <c r="F15" s="43"/>
      <c r="G15" s="43">
        <f>G17-G16</f>
        <v>7559.2972936228989</v>
      </c>
      <c r="H15" s="43">
        <f>H17-H16</f>
        <v>22648.980957234213</v>
      </c>
      <c r="I15" s="43">
        <f>I17-I16</f>
        <v>3512.1082344466749</v>
      </c>
      <c r="J15" s="44">
        <f>J17-J16</f>
        <v>1908.1488773389938</v>
      </c>
      <c r="K15" s="3">
        <f>SUM(B15:J15)</f>
        <v>71392.19814210778</v>
      </c>
      <c r="L15" s="3">
        <f>K17-K15</f>
        <v>47626.968212541513</v>
      </c>
    </row>
    <row r="16" spans="1:23" x14ac:dyDescent="0.3">
      <c r="A16" s="45" t="s">
        <v>120</v>
      </c>
      <c r="B16" s="46">
        <f>B17-SUM(B14,B12,B13)</f>
        <v>22939.333385581769</v>
      </c>
      <c r="C16" s="46">
        <f>C17-SUM(C14,C12,C13)</f>
        <v>442.19546697268675</v>
      </c>
      <c r="D16" s="46">
        <f>D17-SUM(D14,D12,D13)</f>
        <v>2392.7470595857458</v>
      </c>
      <c r="E16" s="46">
        <f>E17-SUM(E14,E12,E13)</f>
        <v>12873.306107839948</v>
      </c>
      <c r="F16" s="46"/>
      <c r="G16" s="46">
        <f>G17-SUM(G14,G12,G13)</f>
        <v>1929.6645318630917</v>
      </c>
      <c r="H16" s="46">
        <f>H17-SUM(H14,H12,H13)</f>
        <v>5505.0720284097843</v>
      </c>
      <c r="I16" s="46">
        <f>I17-SUM(I14,I12,I13)</f>
        <v>888.69334790085577</v>
      </c>
      <c r="J16" s="47">
        <f>J17-SUM(J14,J12,J13)</f>
        <v>655.95628438762833</v>
      </c>
    </row>
    <row r="17" spans="1:11" ht="15" thickBot="1" x14ac:dyDescent="0.35">
      <c r="A17" s="30" t="s">
        <v>123</v>
      </c>
      <c r="B17" s="31">
        <f>B6/B9</f>
        <v>36700.338759896382</v>
      </c>
      <c r="C17" s="31">
        <f>C6/C9</f>
        <v>2189.3088860094012</v>
      </c>
      <c r="D17" s="31">
        <f>D6/D9</f>
        <v>5556.7237241225712</v>
      </c>
      <c r="E17" s="31">
        <f>E6/E9</f>
        <v>29964.873429416788</v>
      </c>
      <c r="F17" s="31"/>
      <c r="G17" s="31">
        <f>G6/G9</f>
        <v>9488.9618254859906</v>
      </c>
      <c r="H17" s="31">
        <f>H6/H9</f>
        <v>28154.052985643997</v>
      </c>
      <c r="I17" s="31">
        <f>I6/I9</f>
        <v>4400.8015823475307</v>
      </c>
      <c r="J17" s="31">
        <f>J6/J9</f>
        <v>2564.1051617266221</v>
      </c>
      <c r="K17" s="3">
        <f t="shared" ref="K17:K18" si="1">SUM(B17:J17)</f>
        <v>119019.16635464929</v>
      </c>
    </row>
    <row r="18" spans="1:11" ht="18" customHeight="1" thickBot="1" x14ac:dyDescent="0.35">
      <c r="A18" s="24" t="s">
        <v>104</v>
      </c>
      <c r="B18" s="27">
        <v>42005</v>
      </c>
      <c r="C18" s="28">
        <v>7033</v>
      </c>
      <c r="D18" s="27">
        <v>11401.524868137429</v>
      </c>
      <c r="E18" s="28">
        <v>18858</v>
      </c>
      <c r="F18" s="26">
        <v>0</v>
      </c>
      <c r="G18" s="29">
        <v>10918.744834927127</v>
      </c>
      <c r="H18" s="28">
        <v>20388.699487162034</v>
      </c>
      <c r="I18" s="48">
        <v>2128.7100586979764</v>
      </c>
      <c r="J18" s="25">
        <v>3739</v>
      </c>
      <c r="K18" s="3">
        <f t="shared" si="1"/>
        <v>116472.67924892459</v>
      </c>
    </row>
    <row r="23" spans="1:11" x14ac:dyDescent="0.3">
      <c r="B23" s="22">
        <f>B16/B17</f>
        <v>0.62504418653073313</v>
      </c>
      <c r="C23" s="22">
        <f>C16/C17</f>
        <v>0.20197947845482225</v>
      </c>
      <c r="D23" s="22">
        <f>D16/D17</f>
        <v>0.43060392749030724</v>
      </c>
      <c r="E23" s="22">
        <f>E16/E17</f>
        <v>0.4296132315780819</v>
      </c>
      <c r="F23" s="22"/>
      <c r="G23" s="22">
        <f>G16/G17</f>
        <v>0.20335886763505462</v>
      </c>
      <c r="H23" s="22">
        <f>H16/H17</f>
        <v>0.19553390878453164</v>
      </c>
      <c r="I23" s="22">
        <f>I16/I17</f>
        <v>0.20193897208762543</v>
      </c>
      <c r="J23" s="22">
        <f>J16/J17</f>
        <v>0.2558226917440154</v>
      </c>
    </row>
    <row r="27" spans="1:11" x14ac:dyDescent="0.3">
      <c r="A27" t="s">
        <v>105</v>
      </c>
      <c r="B27" s="20" t="s">
        <v>106</v>
      </c>
      <c r="C27" s="20" t="s">
        <v>107</v>
      </c>
      <c r="D27" s="20" t="s">
        <v>108</v>
      </c>
      <c r="E27" s="20" t="s">
        <v>109</v>
      </c>
      <c r="F27" s="20" t="s">
        <v>110</v>
      </c>
      <c r="G27" s="20" t="s">
        <v>120</v>
      </c>
    </row>
    <row r="28" spans="1:11" x14ac:dyDescent="0.3">
      <c r="A28">
        <v>45940</v>
      </c>
      <c r="B28" s="20" t="s">
        <v>111</v>
      </c>
      <c r="C28" s="20">
        <v>0</v>
      </c>
      <c r="D28" s="20">
        <v>1</v>
      </c>
      <c r="E28" s="20">
        <v>0</v>
      </c>
      <c r="F28" s="20">
        <v>0</v>
      </c>
      <c r="G28" s="20">
        <v>0</v>
      </c>
    </row>
    <row r="29" spans="1:11" x14ac:dyDescent="0.3">
      <c r="A29">
        <v>45940</v>
      </c>
      <c r="B29" s="20" t="s">
        <v>112</v>
      </c>
      <c r="C29" s="22">
        <v>0.19817504075880915</v>
      </c>
      <c r="D29" s="22">
        <v>3.4846998475088278E-2</v>
      </c>
      <c r="E29" s="22">
        <v>1.5952097920633988E-2</v>
      </c>
      <c r="F29" s="22">
        <v>7.3287925148232305E-2</v>
      </c>
      <c r="G29" s="22">
        <v>0.67697934725457365</v>
      </c>
    </row>
    <row r="30" spans="1:11" x14ac:dyDescent="0.3">
      <c r="A30">
        <v>45940</v>
      </c>
      <c r="B30" s="20" t="s">
        <v>113</v>
      </c>
      <c r="C30" s="22">
        <v>0.35710655333107605</v>
      </c>
      <c r="D30" s="22">
        <v>4.6730558612768654E-2</v>
      </c>
      <c r="E30" s="22">
        <v>5.1519809282419789E-2</v>
      </c>
      <c r="F30" s="22">
        <v>0.24032169727535779</v>
      </c>
      <c r="G30" s="22">
        <v>0.28311586618515155</v>
      </c>
    </row>
    <row r="31" spans="1:11" x14ac:dyDescent="0.3">
      <c r="A31">
        <v>45940</v>
      </c>
      <c r="B31" s="20" t="s">
        <v>114</v>
      </c>
      <c r="C31" s="22">
        <v>0.16758706110090563</v>
      </c>
      <c r="D31" s="22">
        <v>1.9638744987381506E-2</v>
      </c>
      <c r="E31" s="22">
        <v>9.3995637968965734E-2</v>
      </c>
      <c r="F31" s="22">
        <v>0.22674195697408819</v>
      </c>
      <c r="G31" s="22">
        <v>0.48995925991488365</v>
      </c>
    </row>
    <row r="32" spans="1:11" x14ac:dyDescent="0.3">
      <c r="A32">
        <v>45940</v>
      </c>
      <c r="B32" s="20" t="s">
        <v>115</v>
      </c>
      <c r="C32" s="22">
        <v>0.15901863567928359</v>
      </c>
      <c r="D32" s="22">
        <v>4.3364135372241583E-2</v>
      </c>
      <c r="E32" s="22">
        <v>5.1796160639616722E-2</v>
      </c>
      <c r="F32" s="22">
        <v>0.16796763897894568</v>
      </c>
      <c r="G32" s="22">
        <v>0.56902021203527064</v>
      </c>
    </row>
    <row r="33" spans="1:7" x14ac:dyDescent="0.3">
      <c r="A33">
        <v>45940</v>
      </c>
      <c r="B33" s="20" t="s">
        <v>116</v>
      </c>
      <c r="C33" s="22">
        <v>0</v>
      </c>
      <c r="D33" s="22">
        <v>0</v>
      </c>
      <c r="E33" s="22">
        <v>0.69236085969127481</v>
      </c>
      <c r="F33" s="22">
        <v>0.2192015271697989</v>
      </c>
      <c r="G33" s="22">
        <v>8.8437613138926383E-2</v>
      </c>
    </row>
    <row r="34" spans="1:7" x14ac:dyDescent="0.3">
      <c r="A34">
        <v>45940</v>
      </c>
      <c r="B34" s="20" t="s">
        <v>117</v>
      </c>
      <c r="C34" s="22">
        <v>0.24193561593272034</v>
      </c>
      <c r="D34" s="22">
        <v>4.179880097086891E-2</v>
      </c>
      <c r="E34" s="22">
        <v>0.11015011724403777</v>
      </c>
      <c r="F34" s="22">
        <v>0.12711724724505272</v>
      </c>
      <c r="G34" s="22">
        <v>0.47679924436772675</v>
      </c>
    </row>
    <row r="35" spans="1:7" x14ac:dyDescent="0.3">
      <c r="A35">
        <v>45940</v>
      </c>
      <c r="B35" s="20" t="s">
        <v>118</v>
      </c>
      <c r="C35" s="22">
        <v>0.31833490489030664</v>
      </c>
      <c r="D35" s="22">
        <v>9.6481843402275363E-2</v>
      </c>
      <c r="E35" s="22">
        <v>8.9547323254360087E-2</v>
      </c>
      <c r="F35" s="22">
        <v>0.11503516361926362</v>
      </c>
      <c r="G35" s="22">
        <v>0.37218968274270703</v>
      </c>
    </row>
    <row r="36" spans="1:7" x14ac:dyDescent="0.3">
      <c r="A36">
        <v>45940</v>
      </c>
      <c r="B36" s="20" t="s">
        <v>119</v>
      </c>
      <c r="C36" s="22">
        <v>0.2114129327822995</v>
      </c>
      <c r="D36" s="22">
        <v>5.0342940361508798E-2</v>
      </c>
      <c r="E36" s="22">
        <v>0.1814410229803366</v>
      </c>
      <c r="F36" s="22">
        <v>4.1323651517181592E-2</v>
      </c>
      <c r="G36" s="22">
        <v>0.51393868574377977</v>
      </c>
    </row>
    <row r="37" spans="1:7" x14ac:dyDescent="0.3">
      <c r="A37">
        <v>45940</v>
      </c>
      <c r="B37" s="20" t="s">
        <v>121</v>
      </c>
      <c r="C37" s="22">
        <v>0.11514452486381048</v>
      </c>
      <c r="D37" s="22">
        <v>6.8100420697797218E-2</v>
      </c>
      <c r="E37" s="22">
        <v>0.20005179055161085</v>
      </c>
      <c r="F37" s="22">
        <v>0.20183898231873396</v>
      </c>
      <c r="G37" s="22">
        <v>0.3715281201803583</v>
      </c>
    </row>
  </sheetData>
  <pageMargins left="0.75" right="0.75" top="1" bottom="1" header="0.5" footer="0.5"/>
  <headerFooter>
    <oddHeader>&amp;R&amp;"Aptos"&amp;10&amp;K000000 Business Use&amp;1#_x000D_</oddHeader>
  </headerFooter>
  <customProperties>
    <customPr name="IbpWorksheetKeyString_GUID" r:id="rId1"/>
  </customPropertie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4</v>
      </c>
    </row>
    <row r="2" spans="1:6" x14ac:dyDescent="0.3">
      <c r="A2" t="s">
        <v>6</v>
      </c>
      <c r="B2" t="s">
        <v>7</v>
      </c>
      <c r="C2">
        <v>23704</v>
      </c>
      <c r="D2">
        <v>25503</v>
      </c>
      <c r="E2">
        <v>0.92949999999999999</v>
      </c>
      <c r="F2">
        <v>92.95</v>
      </c>
    </row>
    <row r="3" spans="1:6" x14ac:dyDescent="0.3">
      <c r="A3" t="s">
        <v>6</v>
      </c>
      <c r="B3" t="s">
        <v>9</v>
      </c>
      <c r="C3">
        <v>93949</v>
      </c>
      <c r="D3">
        <v>100520</v>
      </c>
      <c r="E3">
        <v>0.93459999999999999</v>
      </c>
      <c r="F3">
        <v>93.46</v>
      </c>
    </row>
    <row r="4" spans="1:6" x14ac:dyDescent="0.3">
      <c r="A4" t="s">
        <v>6</v>
      </c>
      <c r="B4" t="s">
        <v>10</v>
      </c>
      <c r="C4">
        <v>3416</v>
      </c>
      <c r="D4">
        <v>5406</v>
      </c>
      <c r="E4">
        <v>0.63190000000000002</v>
      </c>
      <c r="F4">
        <v>63.19</v>
      </c>
    </row>
    <row r="5" spans="1:6" x14ac:dyDescent="0.3">
      <c r="A5" t="s">
        <v>6</v>
      </c>
      <c r="B5" t="s">
        <v>12</v>
      </c>
      <c r="C5">
        <v>1397</v>
      </c>
      <c r="D5">
        <v>2001</v>
      </c>
      <c r="E5">
        <v>0.69820000000000004</v>
      </c>
      <c r="F5">
        <v>69.819999999999993</v>
      </c>
    </row>
    <row r="6" spans="1:6" x14ac:dyDescent="0.3">
      <c r="A6" t="s">
        <v>6</v>
      </c>
      <c r="B6" t="s">
        <v>13</v>
      </c>
      <c r="C6">
        <v>2486</v>
      </c>
      <c r="D6">
        <v>4205</v>
      </c>
      <c r="E6">
        <v>0.59119999999999995</v>
      </c>
      <c r="F6">
        <v>59.12</v>
      </c>
    </row>
    <row r="7" spans="1:6" x14ac:dyDescent="0.3">
      <c r="A7" t="s">
        <v>14</v>
      </c>
      <c r="B7" t="s">
        <v>7</v>
      </c>
      <c r="C7">
        <v>400362</v>
      </c>
      <c r="D7">
        <v>416732</v>
      </c>
      <c r="E7">
        <v>0.9607</v>
      </c>
      <c r="F7">
        <v>96.07</v>
      </c>
    </row>
    <row r="8" spans="1:6" x14ac:dyDescent="0.3">
      <c r="A8" t="s">
        <v>14</v>
      </c>
      <c r="B8" t="s">
        <v>9</v>
      </c>
      <c r="C8">
        <v>1712905</v>
      </c>
      <c r="D8">
        <v>1770928</v>
      </c>
      <c r="E8">
        <v>0.96719999999999995</v>
      </c>
      <c r="F8">
        <v>96.72</v>
      </c>
    </row>
    <row r="9" spans="1:6" x14ac:dyDescent="0.3">
      <c r="A9" t="s">
        <v>14</v>
      </c>
      <c r="B9" t="s">
        <v>10</v>
      </c>
      <c r="C9">
        <v>59578</v>
      </c>
      <c r="D9">
        <v>79971</v>
      </c>
      <c r="E9">
        <v>0.745</v>
      </c>
      <c r="F9">
        <v>74.5</v>
      </c>
    </row>
    <row r="10" spans="1:6" x14ac:dyDescent="0.3">
      <c r="A10" t="s">
        <v>14</v>
      </c>
      <c r="B10" t="s">
        <v>12</v>
      </c>
      <c r="C10">
        <v>24970</v>
      </c>
      <c r="D10">
        <v>32926</v>
      </c>
      <c r="E10">
        <v>0.75839999999999996</v>
      </c>
      <c r="F10">
        <v>75.84</v>
      </c>
    </row>
    <row r="11" spans="1:6" x14ac:dyDescent="0.3">
      <c r="A11" t="s">
        <v>14</v>
      </c>
      <c r="B11" t="s">
        <v>13</v>
      </c>
      <c r="C11">
        <v>55423</v>
      </c>
      <c r="D11">
        <v>69588</v>
      </c>
      <c r="E11">
        <v>0.7964</v>
      </c>
      <c r="F11">
        <v>79.64</v>
      </c>
    </row>
    <row r="12" spans="1:6" x14ac:dyDescent="0.3">
      <c r="A12" t="s">
        <v>17</v>
      </c>
      <c r="B12" t="s">
        <v>7</v>
      </c>
      <c r="C12">
        <v>418971</v>
      </c>
      <c r="D12">
        <v>442707</v>
      </c>
      <c r="E12">
        <v>0.94640000000000002</v>
      </c>
      <c r="F12">
        <v>94.64</v>
      </c>
    </row>
    <row r="13" spans="1:6" x14ac:dyDescent="0.3">
      <c r="A13" t="s">
        <v>17</v>
      </c>
      <c r="B13" t="s">
        <v>9</v>
      </c>
      <c r="C13">
        <v>1689558</v>
      </c>
      <c r="D13">
        <v>1858687</v>
      </c>
      <c r="E13">
        <v>0.90900000000000003</v>
      </c>
      <c r="F13">
        <v>90.9</v>
      </c>
    </row>
    <row r="14" spans="1:6" x14ac:dyDescent="0.3">
      <c r="A14" t="s">
        <v>17</v>
      </c>
      <c r="B14" t="s">
        <v>10</v>
      </c>
      <c r="C14">
        <v>58614</v>
      </c>
      <c r="D14">
        <v>97964</v>
      </c>
      <c r="E14">
        <v>0.59830000000000005</v>
      </c>
      <c r="F14">
        <v>59.83</v>
      </c>
    </row>
    <row r="15" spans="1:6" x14ac:dyDescent="0.3">
      <c r="A15" t="s">
        <v>17</v>
      </c>
      <c r="B15" t="s">
        <v>12</v>
      </c>
      <c r="C15">
        <v>28059</v>
      </c>
      <c r="D15">
        <v>42175</v>
      </c>
      <c r="E15">
        <v>0.6653</v>
      </c>
      <c r="F15">
        <v>66.53</v>
      </c>
    </row>
    <row r="16" spans="1:6" x14ac:dyDescent="0.3">
      <c r="A16" t="s">
        <v>17</v>
      </c>
      <c r="B16" t="s">
        <v>13</v>
      </c>
      <c r="C16">
        <v>52158</v>
      </c>
      <c r="D16">
        <v>74552</v>
      </c>
      <c r="E16">
        <v>0.6996</v>
      </c>
      <c r="F16">
        <v>69.959999999999994</v>
      </c>
    </row>
    <row r="17" spans="1:6" x14ac:dyDescent="0.3">
      <c r="A17" t="s">
        <v>20</v>
      </c>
      <c r="B17" t="s">
        <v>7</v>
      </c>
      <c r="C17">
        <v>397534</v>
      </c>
      <c r="D17">
        <v>431350</v>
      </c>
      <c r="E17">
        <v>0.92159999999999997</v>
      </c>
      <c r="F17">
        <v>92.16</v>
      </c>
    </row>
    <row r="18" spans="1:6" x14ac:dyDescent="0.3">
      <c r="A18" t="s">
        <v>20</v>
      </c>
      <c r="B18" t="s">
        <v>9</v>
      </c>
      <c r="C18">
        <v>1542906</v>
      </c>
      <c r="D18">
        <v>1752057</v>
      </c>
      <c r="E18">
        <v>0.88060000000000005</v>
      </c>
      <c r="F18">
        <v>88.06</v>
      </c>
    </row>
    <row r="19" spans="1:6" x14ac:dyDescent="0.3">
      <c r="A19" t="s">
        <v>20</v>
      </c>
      <c r="B19" t="s">
        <v>10</v>
      </c>
      <c r="C19">
        <v>41112</v>
      </c>
      <c r="D19">
        <v>70774</v>
      </c>
      <c r="E19">
        <v>0.58089999999999997</v>
      </c>
      <c r="F19">
        <v>58.09</v>
      </c>
    </row>
    <row r="20" spans="1:6" x14ac:dyDescent="0.3">
      <c r="A20" t="s">
        <v>20</v>
      </c>
      <c r="B20" t="s">
        <v>12</v>
      </c>
      <c r="C20">
        <v>30602</v>
      </c>
      <c r="D20">
        <v>48588</v>
      </c>
      <c r="E20">
        <v>0.62980000000000003</v>
      </c>
      <c r="F20">
        <v>62.98</v>
      </c>
    </row>
    <row r="21" spans="1:6" x14ac:dyDescent="0.3">
      <c r="A21" t="s">
        <v>20</v>
      </c>
      <c r="B21" t="s">
        <v>13</v>
      </c>
      <c r="C21">
        <v>38108</v>
      </c>
      <c r="D21">
        <v>57603</v>
      </c>
      <c r="E21">
        <v>0.66159999999999997</v>
      </c>
      <c r="F21">
        <v>66.16</v>
      </c>
    </row>
    <row r="22" spans="1:6" x14ac:dyDescent="0.3">
      <c r="A22" t="s">
        <v>25</v>
      </c>
      <c r="B22" t="s">
        <v>7</v>
      </c>
      <c r="C22">
        <v>222464</v>
      </c>
      <c r="D22">
        <v>252895</v>
      </c>
      <c r="E22">
        <v>0.87970000000000004</v>
      </c>
      <c r="F22">
        <v>87.97</v>
      </c>
    </row>
    <row r="23" spans="1:6" x14ac:dyDescent="0.3">
      <c r="A23" t="s">
        <v>25</v>
      </c>
      <c r="B23" t="s">
        <v>9</v>
      </c>
      <c r="C23">
        <v>1068416</v>
      </c>
      <c r="D23">
        <v>1304946</v>
      </c>
      <c r="E23">
        <v>0.81869999999999998</v>
      </c>
      <c r="F23">
        <v>81.87</v>
      </c>
    </row>
    <row r="24" spans="1:6" x14ac:dyDescent="0.3">
      <c r="A24" t="s">
        <v>25</v>
      </c>
      <c r="B24" t="s">
        <v>10</v>
      </c>
      <c r="C24">
        <v>35115</v>
      </c>
      <c r="D24">
        <v>72402</v>
      </c>
      <c r="E24">
        <v>0.48499999999999999</v>
      </c>
      <c r="F24">
        <v>48.5</v>
      </c>
    </row>
    <row r="25" spans="1:6" x14ac:dyDescent="0.3">
      <c r="A25" t="s">
        <v>25</v>
      </c>
      <c r="B25" t="s">
        <v>12</v>
      </c>
      <c r="C25">
        <v>20477</v>
      </c>
      <c r="D25">
        <v>34581</v>
      </c>
      <c r="E25">
        <v>0.59209999999999996</v>
      </c>
      <c r="F25">
        <v>59.21</v>
      </c>
    </row>
    <row r="26" spans="1:6" x14ac:dyDescent="0.3">
      <c r="A26" t="s">
        <v>25</v>
      </c>
      <c r="B26" t="s">
        <v>13</v>
      </c>
      <c r="C26">
        <v>39441</v>
      </c>
      <c r="D26">
        <v>70798</v>
      </c>
      <c r="E26">
        <v>0.55710000000000004</v>
      </c>
      <c r="F26">
        <v>55.71</v>
      </c>
    </row>
    <row r="27" spans="1:6" x14ac:dyDescent="0.3">
      <c r="A27" t="s">
        <v>33</v>
      </c>
      <c r="B27" t="s">
        <v>7</v>
      </c>
      <c r="C27">
        <v>0</v>
      </c>
      <c r="D27">
        <v>548</v>
      </c>
      <c r="E27">
        <v>0</v>
      </c>
      <c r="F27">
        <v>0</v>
      </c>
    </row>
    <row r="28" spans="1:6" x14ac:dyDescent="0.3">
      <c r="A28" t="s">
        <v>33</v>
      </c>
      <c r="B28" t="s">
        <v>9</v>
      </c>
      <c r="C28">
        <v>0</v>
      </c>
      <c r="D28">
        <v>3336</v>
      </c>
      <c r="E28">
        <v>0</v>
      </c>
      <c r="F28">
        <v>0</v>
      </c>
    </row>
  </sheetData>
  <pageMargins left="0.75" right="0.75" top="1" bottom="1" header="0.5" footer="0.5"/>
  <headerFooter>
    <oddHeader>&amp;R&amp;"Aptos"&amp;10&amp;K000000 Business Use&amp;1#_x000D_</oddHeader>
  </headerFooter>
  <customProperties>
    <customPr name="IbpWorksheetKeyString_GU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7</v>
      </c>
      <c r="C1" s="1" t="s">
        <v>9</v>
      </c>
      <c r="D1" s="1" t="s">
        <v>10</v>
      </c>
      <c r="E1" s="1" t="s">
        <v>12</v>
      </c>
      <c r="F1" s="1" t="s">
        <v>13</v>
      </c>
    </row>
    <row r="2" spans="1:6" x14ac:dyDescent="0.3">
      <c r="A2" t="s">
        <v>6</v>
      </c>
      <c r="B2">
        <v>92.95</v>
      </c>
      <c r="C2">
        <v>93.46</v>
      </c>
      <c r="D2">
        <v>63.19</v>
      </c>
      <c r="E2">
        <v>69.819999999999993</v>
      </c>
      <c r="F2">
        <v>59.12</v>
      </c>
    </row>
    <row r="3" spans="1:6" x14ac:dyDescent="0.3">
      <c r="A3" t="s">
        <v>14</v>
      </c>
      <c r="B3">
        <v>96.07</v>
      </c>
      <c r="C3">
        <v>96.72</v>
      </c>
      <c r="D3">
        <v>74.5</v>
      </c>
      <c r="E3">
        <v>75.84</v>
      </c>
      <c r="F3">
        <v>79.64</v>
      </c>
    </row>
    <row r="4" spans="1:6" x14ac:dyDescent="0.3">
      <c r="A4" t="s">
        <v>17</v>
      </c>
      <c r="B4">
        <v>94.64</v>
      </c>
      <c r="C4">
        <v>90.9</v>
      </c>
      <c r="D4">
        <v>59.83</v>
      </c>
      <c r="E4">
        <v>66.53</v>
      </c>
      <c r="F4">
        <v>69.959999999999994</v>
      </c>
    </row>
    <row r="5" spans="1:6" x14ac:dyDescent="0.3">
      <c r="A5" t="s">
        <v>20</v>
      </c>
      <c r="B5">
        <v>92.16</v>
      </c>
      <c r="C5">
        <v>88.06</v>
      </c>
      <c r="D5">
        <v>58.09</v>
      </c>
      <c r="E5">
        <v>62.98</v>
      </c>
      <c r="F5">
        <v>66.16</v>
      </c>
    </row>
    <row r="6" spans="1:6" x14ac:dyDescent="0.3">
      <c r="A6" t="s">
        <v>25</v>
      </c>
      <c r="B6">
        <v>87.97</v>
      </c>
      <c r="C6">
        <v>81.87</v>
      </c>
      <c r="D6">
        <v>48.5</v>
      </c>
      <c r="E6">
        <v>59.21</v>
      </c>
      <c r="F6">
        <v>55.71</v>
      </c>
    </row>
    <row r="7" spans="1:6" x14ac:dyDescent="0.3">
      <c r="A7" t="s">
        <v>33</v>
      </c>
      <c r="B7">
        <v>0</v>
      </c>
      <c r="C7">
        <v>0</v>
      </c>
    </row>
  </sheetData>
  <pageMargins left="0.75" right="0.75" top="1" bottom="1" header="0.5" footer="0.5"/>
  <headerFooter>
    <oddHeader>&amp;R&amp;"Aptos"&amp;10&amp;K000000 Business Use&amp;1#_x000D_</oddHeader>
  </headerFooter>
  <customProperties>
    <customPr name="IbpWorksheetKeyString_GU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6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5</v>
      </c>
    </row>
    <row r="2" spans="1:8" x14ac:dyDescent="0.3">
      <c r="A2" t="s">
        <v>6</v>
      </c>
      <c r="B2" t="s">
        <v>7</v>
      </c>
      <c r="C2" t="s">
        <v>8</v>
      </c>
      <c r="D2">
        <v>881857</v>
      </c>
      <c r="E2">
        <v>1</v>
      </c>
      <c r="F2">
        <v>84690.643299999996</v>
      </c>
      <c r="G2">
        <v>12098.6633</v>
      </c>
      <c r="H2">
        <v>72.89</v>
      </c>
    </row>
    <row r="3" spans="1:8" x14ac:dyDescent="0.3">
      <c r="A3" t="s">
        <v>6</v>
      </c>
      <c r="B3" t="s">
        <v>9</v>
      </c>
      <c r="C3" t="s">
        <v>8</v>
      </c>
      <c r="D3">
        <v>2499470</v>
      </c>
      <c r="E3">
        <v>1</v>
      </c>
      <c r="F3">
        <v>367326.81800000003</v>
      </c>
      <c r="G3">
        <v>52475.259700000002</v>
      </c>
      <c r="H3">
        <v>47.63</v>
      </c>
    </row>
    <row r="4" spans="1:8" x14ac:dyDescent="0.3">
      <c r="A4" t="s">
        <v>6</v>
      </c>
      <c r="B4" t="s">
        <v>10</v>
      </c>
      <c r="C4" t="s">
        <v>11</v>
      </c>
      <c r="D4">
        <v>137398</v>
      </c>
      <c r="E4">
        <v>1</v>
      </c>
      <c r="F4">
        <v>15685.8493</v>
      </c>
      <c r="G4">
        <v>2240.8355999999999</v>
      </c>
      <c r="H4">
        <v>61.32</v>
      </c>
    </row>
    <row r="5" spans="1:8" x14ac:dyDescent="0.3">
      <c r="A5" t="s">
        <v>6</v>
      </c>
      <c r="B5" t="s">
        <v>12</v>
      </c>
      <c r="C5" t="s">
        <v>8</v>
      </c>
      <c r="D5">
        <v>28152</v>
      </c>
      <c r="E5">
        <v>1</v>
      </c>
      <c r="F5">
        <v>6851.3495000000003</v>
      </c>
      <c r="G5">
        <v>978.76419999999996</v>
      </c>
      <c r="H5">
        <v>28.76</v>
      </c>
    </row>
    <row r="6" spans="1:8" x14ac:dyDescent="0.3">
      <c r="A6" t="s">
        <v>6</v>
      </c>
      <c r="B6" t="s">
        <v>13</v>
      </c>
      <c r="C6" t="s">
        <v>11</v>
      </c>
      <c r="D6">
        <v>79763</v>
      </c>
      <c r="E6">
        <v>1</v>
      </c>
      <c r="F6">
        <v>13740.6571</v>
      </c>
      <c r="G6">
        <v>1962.951</v>
      </c>
      <c r="H6">
        <v>40.630000000000003</v>
      </c>
    </row>
    <row r="7" spans="1:8" x14ac:dyDescent="0.3">
      <c r="A7" t="s">
        <v>14</v>
      </c>
      <c r="B7" t="s">
        <v>7</v>
      </c>
      <c r="C7" t="s">
        <v>15</v>
      </c>
      <c r="D7">
        <v>913050</v>
      </c>
      <c r="E7">
        <v>1</v>
      </c>
      <c r="F7">
        <v>84690.643299999996</v>
      </c>
      <c r="G7">
        <v>12098.6633</v>
      </c>
      <c r="H7">
        <v>75.47</v>
      </c>
    </row>
    <row r="8" spans="1:8" x14ac:dyDescent="0.3">
      <c r="A8" t="s">
        <v>14</v>
      </c>
      <c r="B8" t="s">
        <v>9</v>
      </c>
      <c r="C8" t="s">
        <v>16</v>
      </c>
      <c r="D8">
        <v>2504316</v>
      </c>
      <c r="E8">
        <v>1</v>
      </c>
      <c r="F8">
        <v>367326.81800000003</v>
      </c>
      <c r="G8">
        <v>52475.259700000002</v>
      </c>
      <c r="H8">
        <v>47.72</v>
      </c>
    </row>
    <row r="9" spans="1:8" x14ac:dyDescent="0.3">
      <c r="A9" t="s">
        <v>14</v>
      </c>
      <c r="B9" t="s">
        <v>10</v>
      </c>
      <c r="C9" t="s">
        <v>15</v>
      </c>
      <c r="D9">
        <v>138062</v>
      </c>
      <c r="E9">
        <v>1</v>
      </c>
      <c r="F9">
        <v>15685.8493</v>
      </c>
      <c r="G9">
        <v>2240.8355999999999</v>
      </c>
      <c r="H9">
        <v>61.61</v>
      </c>
    </row>
    <row r="10" spans="1:8" x14ac:dyDescent="0.3">
      <c r="A10" t="s">
        <v>14</v>
      </c>
      <c r="B10" t="s">
        <v>12</v>
      </c>
      <c r="C10" t="s">
        <v>15</v>
      </c>
      <c r="D10">
        <v>27423</v>
      </c>
      <c r="E10">
        <v>1</v>
      </c>
      <c r="F10">
        <v>6851.3495000000003</v>
      </c>
      <c r="G10">
        <v>978.76419999999996</v>
      </c>
      <c r="H10">
        <v>28.02</v>
      </c>
    </row>
    <row r="11" spans="1:8" x14ac:dyDescent="0.3">
      <c r="A11" t="s">
        <v>14</v>
      </c>
      <c r="B11" t="s">
        <v>13</v>
      </c>
      <c r="C11" t="s">
        <v>15</v>
      </c>
      <c r="D11">
        <v>79446</v>
      </c>
      <c r="E11">
        <v>1</v>
      </c>
      <c r="F11">
        <v>13740.6571</v>
      </c>
      <c r="G11">
        <v>1962.951</v>
      </c>
      <c r="H11">
        <v>40.47</v>
      </c>
    </row>
    <row r="12" spans="1:8" x14ac:dyDescent="0.3">
      <c r="A12" t="s">
        <v>17</v>
      </c>
      <c r="B12" t="s">
        <v>7</v>
      </c>
      <c r="C12" t="s">
        <v>18</v>
      </c>
      <c r="D12">
        <v>752949</v>
      </c>
      <c r="E12">
        <v>5</v>
      </c>
      <c r="F12">
        <v>97614.918000000005</v>
      </c>
      <c r="G12">
        <v>13944.988300000001</v>
      </c>
      <c r="H12">
        <v>53.99</v>
      </c>
    </row>
    <row r="13" spans="1:8" x14ac:dyDescent="0.3">
      <c r="A13" t="s">
        <v>17</v>
      </c>
      <c r="B13" t="s">
        <v>9</v>
      </c>
      <c r="C13" t="s">
        <v>38</v>
      </c>
      <c r="D13">
        <v>2037649</v>
      </c>
      <c r="E13">
        <v>6</v>
      </c>
      <c r="F13">
        <v>416546.59909999999</v>
      </c>
      <c r="G13">
        <v>59506.656999999999</v>
      </c>
      <c r="H13">
        <v>34.24</v>
      </c>
    </row>
    <row r="14" spans="1:8" x14ac:dyDescent="0.3">
      <c r="A14" t="s">
        <v>17</v>
      </c>
      <c r="B14" t="s">
        <v>10</v>
      </c>
      <c r="C14" t="s">
        <v>18</v>
      </c>
      <c r="D14">
        <v>115549</v>
      </c>
      <c r="E14">
        <v>5</v>
      </c>
      <c r="F14">
        <v>17130.23</v>
      </c>
      <c r="G14">
        <v>2447.1756999999998</v>
      </c>
      <c r="H14">
        <v>47.22</v>
      </c>
    </row>
    <row r="15" spans="1:8" x14ac:dyDescent="0.3">
      <c r="A15" t="s">
        <v>17</v>
      </c>
      <c r="B15" t="s">
        <v>12</v>
      </c>
      <c r="C15" t="s">
        <v>18</v>
      </c>
      <c r="D15">
        <v>18738</v>
      </c>
      <c r="E15">
        <v>5</v>
      </c>
      <c r="F15">
        <v>7937.9197000000004</v>
      </c>
      <c r="G15">
        <v>1133.9884999999999</v>
      </c>
      <c r="H15">
        <v>16.52</v>
      </c>
    </row>
    <row r="16" spans="1:8" x14ac:dyDescent="0.3">
      <c r="A16" t="s">
        <v>17</v>
      </c>
      <c r="B16" t="s">
        <v>13</v>
      </c>
      <c r="C16" t="s">
        <v>18</v>
      </c>
      <c r="D16">
        <v>57933</v>
      </c>
      <c r="E16">
        <v>5</v>
      </c>
      <c r="F16">
        <v>14761.454400000001</v>
      </c>
      <c r="G16">
        <v>2108.7791999999999</v>
      </c>
      <c r="H16">
        <v>27.47</v>
      </c>
    </row>
    <row r="17" spans="1:8" x14ac:dyDescent="0.3">
      <c r="A17" t="s">
        <v>20</v>
      </c>
      <c r="B17" t="s">
        <v>7</v>
      </c>
      <c r="C17" t="s">
        <v>21</v>
      </c>
      <c r="D17">
        <v>698187</v>
      </c>
      <c r="E17">
        <v>10</v>
      </c>
      <c r="F17">
        <v>92755.351699999999</v>
      </c>
      <c r="G17">
        <v>13250.764499999999</v>
      </c>
      <c r="H17">
        <v>52.69</v>
      </c>
    </row>
    <row r="18" spans="1:8" x14ac:dyDescent="0.3">
      <c r="A18" t="s">
        <v>20</v>
      </c>
      <c r="B18" t="s">
        <v>9</v>
      </c>
      <c r="C18" t="s">
        <v>22</v>
      </c>
      <c r="D18">
        <v>1870022</v>
      </c>
      <c r="E18">
        <v>11</v>
      </c>
      <c r="F18">
        <v>391169.83590000001</v>
      </c>
      <c r="G18">
        <v>55881.405100000004</v>
      </c>
      <c r="H18">
        <v>33.46</v>
      </c>
    </row>
    <row r="19" spans="1:8" x14ac:dyDescent="0.3">
      <c r="A19" t="s">
        <v>20</v>
      </c>
      <c r="B19" t="s">
        <v>10</v>
      </c>
      <c r="C19" t="s">
        <v>39</v>
      </c>
      <c r="D19">
        <v>101941</v>
      </c>
      <c r="E19">
        <v>10</v>
      </c>
      <c r="F19">
        <v>15905.1733</v>
      </c>
      <c r="G19">
        <v>2272.1676000000002</v>
      </c>
      <c r="H19">
        <v>44.87</v>
      </c>
    </row>
    <row r="20" spans="1:8" x14ac:dyDescent="0.3">
      <c r="A20" t="s">
        <v>20</v>
      </c>
      <c r="B20" t="s">
        <v>12</v>
      </c>
      <c r="C20" t="s">
        <v>24</v>
      </c>
      <c r="D20">
        <v>17350</v>
      </c>
      <c r="E20">
        <v>10</v>
      </c>
      <c r="F20">
        <v>10088.5666</v>
      </c>
      <c r="G20">
        <v>1441.2238</v>
      </c>
      <c r="H20">
        <v>12.04</v>
      </c>
    </row>
    <row r="21" spans="1:8" x14ac:dyDescent="0.3">
      <c r="A21" t="s">
        <v>20</v>
      </c>
      <c r="B21" t="s">
        <v>13</v>
      </c>
      <c r="C21" t="s">
        <v>40</v>
      </c>
      <c r="D21">
        <v>47723</v>
      </c>
      <c r="E21">
        <v>13</v>
      </c>
      <c r="F21">
        <v>13882.7829</v>
      </c>
      <c r="G21">
        <v>1983.2547</v>
      </c>
      <c r="H21">
        <v>24.06</v>
      </c>
    </row>
    <row r="22" spans="1:8" x14ac:dyDescent="0.3">
      <c r="A22" t="s">
        <v>25</v>
      </c>
      <c r="B22" t="s">
        <v>7</v>
      </c>
      <c r="C22" t="s">
        <v>26</v>
      </c>
      <c r="D22">
        <v>683863</v>
      </c>
      <c r="E22">
        <v>14</v>
      </c>
      <c r="F22">
        <v>75339.019799999995</v>
      </c>
      <c r="G22">
        <v>10762.7171</v>
      </c>
      <c r="H22">
        <v>63.54</v>
      </c>
    </row>
    <row r="23" spans="1:8" x14ac:dyDescent="0.3">
      <c r="A23" t="s">
        <v>25</v>
      </c>
      <c r="B23" t="s">
        <v>9</v>
      </c>
      <c r="C23" t="s">
        <v>27</v>
      </c>
      <c r="D23">
        <v>1848153</v>
      </c>
      <c r="E23">
        <v>15</v>
      </c>
      <c r="F23">
        <v>496585.01199999999</v>
      </c>
      <c r="G23">
        <v>70940.716</v>
      </c>
      <c r="H23">
        <v>26.05</v>
      </c>
    </row>
    <row r="24" spans="1:8" x14ac:dyDescent="0.3">
      <c r="A24" t="s">
        <v>25</v>
      </c>
      <c r="B24" t="s">
        <v>10</v>
      </c>
      <c r="C24" t="s">
        <v>26</v>
      </c>
      <c r="D24">
        <v>98689</v>
      </c>
      <c r="E24">
        <v>14</v>
      </c>
      <c r="F24">
        <v>15625.549300000001</v>
      </c>
      <c r="G24">
        <v>2232.2213000000002</v>
      </c>
      <c r="H24">
        <v>44.21</v>
      </c>
    </row>
    <row r="25" spans="1:8" x14ac:dyDescent="0.3">
      <c r="A25" t="s">
        <v>25</v>
      </c>
      <c r="B25" t="s">
        <v>12</v>
      </c>
      <c r="C25" t="s">
        <v>41</v>
      </c>
      <c r="D25">
        <v>16899</v>
      </c>
      <c r="E25">
        <v>16</v>
      </c>
      <c r="F25">
        <v>17738.446800000002</v>
      </c>
      <c r="G25">
        <v>2534.0637999999999</v>
      </c>
      <c r="H25">
        <v>6.67</v>
      </c>
    </row>
    <row r="26" spans="1:8" x14ac:dyDescent="0.3">
      <c r="A26" t="s">
        <v>25</v>
      </c>
      <c r="B26" t="s">
        <v>13</v>
      </c>
      <c r="C26" t="s">
        <v>26</v>
      </c>
      <c r="D26">
        <v>46238</v>
      </c>
      <c r="E26">
        <v>14</v>
      </c>
      <c r="F26">
        <v>12462.537</v>
      </c>
      <c r="G26">
        <v>1780.3624</v>
      </c>
      <c r="H26">
        <v>25.97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7</v>
      </c>
      <c r="C1" s="1" t="s">
        <v>9</v>
      </c>
      <c r="D1" s="1" t="s">
        <v>10</v>
      </c>
      <c r="E1" s="1" t="s">
        <v>12</v>
      </c>
      <c r="F1" s="1" t="s">
        <v>13</v>
      </c>
    </row>
    <row r="2" spans="1:6" x14ac:dyDescent="0.3">
      <c r="A2" t="s">
        <v>6</v>
      </c>
      <c r="B2">
        <v>72.89</v>
      </c>
      <c r="C2">
        <v>47.63</v>
      </c>
      <c r="D2">
        <v>61.32</v>
      </c>
      <c r="E2">
        <v>28.76</v>
      </c>
      <c r="F2">
        <v>40.630000000000003</v>
      </c>
    </row>
    <row r="3" spans="1:6" x14ac:dyDescent="0.3">
      <c r="A3" t="s">
        <v>14</v>
      </c>
      <c r="B3">
        <v>75.47</v>
      </c>
      <c r="C3">
        <v>47.72</v>
      </c>
      <c r="D3">
        <v>61.61</v>
      </c>
      <c r="E3">
        <v>28.02</v>
      </c>
      <c r="F3">
        <v>40.47</v>
      </c>
    </row>
    <row r="4" spans="1:6" x14ac:dyDescent="0.3">
      <c r="A4" t="s">
        <v>17</v>
      </c>
      <c r="B4">
        <v>53.99</v>
      </c>
      <c r="C4">
        <v>34.24</v>
      </c>
      <c r="D4">
        <v>47.22</v>
      </c>
      <c r="E4">
        <v>16.52</v>
      </c>
      <c r="F4">
        <v>27.47</v>
      </c>
    </row>
    <row r="5" spans="1:6" x14ac:dyDescent="0.3">
      <c r="A5" t="s">
        <v>20</v>
      </c>
      <c r="B5">
        <v>52.69</v>
      </c>
      <c r="C5">
        <v>33.46</v>
      </c>
      <c r="D5">
        <v>44.87</v>
      </c>
      <c r="E5">
        <v>12.04</v>
      </c>
      <c r="F5">
        <v>24.06</v>
      </c>
    </row>
    <row r="6" spans="1:6" x14ac:dyDescent="0.3">
      <c r="A6" t="s">
        <v>25</v>
      </c>
      <c r="B6">
        <v>63.54</v>
      </c>
      <c r="C6">
        <v>26.05</v>
      </c>
      <c r="D6">
        <v>44.21</v>
      </c>
      <c r="E6">
        <v>6.67</v>
      </c>
      <c r="F6">
        <v>25.97</v>
      </c>
    </row>
  </sheetData>
  <pageMargins left="0.75" right="0.75" top="1" bottom="1" header="0.5" footer="0.5"/>
  <headerFooter>
    <oddHeader>&amp;R&amp;"Aptos"&amp;10&amp;K000000 Business Use&amp;1#_x000D_</oddHeader>
  </headerFooter>
  <customProperties>
    <customPr name="IbpWorksheetKeyString_GU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6"/>
  <sheetViews>
    <sheetView workbookViewId="0">
      <selection activeCell="F4" sqref="F4"/>
    </sheetView>
  </sheetViews>
  <sheetFormatPr defaultRowHeight="14.4" x14ac:dyDescent="0.3"/>
  <cols>
    <col min="1" max="1" width="7.6640625" bestFit="1" customWidth="1"/>
    <col min="2" max="2" width="10.33203125" bestFit="1" customWidth="1"/>
    <col min="3" max="3" width="11.44140625" bestFit="1" customWidth="1"/>
    <col min="4" max="4" width="12" bestFit="1" customWidth="1"/>
  </cols>
  <sheetData>
    <row r="1" spans="1:4" x14ac:dyDescent="0.3">
      <c r="A1" s="1" t="s">
        <v>0</v>
      </c>
      <c r="B1" s="1" t="s">
        <v>2</v>
      </c>
      <c r="C1" s="1" t="s">
        <v>42</v>
      </c>
      <c r="D1" s="1" t="s">
        <v>3</v>
      </c>
    </row>
    <row r="2" spans="1:4" x14ac:dyDescent="0.3">
      <c r="A2" t="s">
        <v>6</v>
      </c>
      <c r="B2" t="s">
        <v>8</v>
      </c>
      <c r="C2" t="s">
        <v>43</v>
      </c>
      <c r="D2">
        <v>25773.023230700001</v>
      </c>
    </row>
    <row r="3" spans="1:4" x14ac:dyDescent="0.3">
      <c r="A3" t="s">
        <v>6</v>
      </c>
      <c r="B3" t="s">
        <v>8</v>
      </c>
      <c r="C3" t="s">
        <v>44</v>
      </c>
      <c r="D3">
        <v>18491.919354499998</v>
      </c>
    </row>
    <row r="4" spans="1:4" x14ac:dyDescent="0.3">
      <c r="A4" t="s">
        <v>6</v>
      </c>
      <c r="B4" t="s">
        <v>8</v>
      </c>
      <c r="C4" t="s">
        <v>45</v>
      </c>
      <c r="D4">
        <v>14800.338525499999</v>
      </c>
    </row>
    <row r="5" spans="1:4" x14ac:dyDescent="0.3">
      <c r="A5" t="s">
        <v>6</v>
      </c>
      <c r="B5" t="s">
        <v>8</v>
      </c>
      <c r="C5" t="s">
        <v>46</v>
      </c>
      <c r="D5">
        <v>4077.4563754999999</v>
      </c>
    </row>
    <row r="6" spans="1:4" x14ac:dyDescent="0.3">
      <c r="A6" t="s">
        <v>6</v>
      </c>
      <c r="B6" t="s">
        <v>8</v>
      </c>
      <c r="C6" t="s">
        <v>47</v>
      </c>
      <c r="D6">
        <v>3666.0160466000002</v>
      </c>
    </row>
    <row r="7" spans="1:4" x14ac:dyDescent="0.3">
      <c r="A7" t="s">
        <v>6</v>
      </c>
      <c r="B7" t="s">
        <v>8</v>
      </c>
      <c r="C7" t="s">
        <v>48</v>
      </c>
      <c r="D7">
        <v>2561.5064631</v>
      </c>
    </row>
    <row r="8" spans="1:4" x14ac:dyDescent="0.3">
      <c r="A8" t="s">
        <v>6</v>
      </c>
      <c r="B8" t="s">
        <v>8</v>
      </c>
      <c r="C8" t="s">
        <v>49</v>
      </c>
      <c r="D8">
        <v>1574.4244675</v>
      </c>
    </row>
    <row r="9" spans="1:4" x14ac:dyDescent="0.3">
      <c r="A9" t="s">
        <v>6</v>
      </c>
      <c r="B9" t="s">
        <v>8</v>
      </c>
      <c r="C9" t="s">
        <v>50</v>
      </c>
      <c r="D9">
        <v>1217.5437875999999</v>
      </c>
    </row>
    <row r="10" spans="1:4" x14ac:dyDescent="0.3">
      <c r="A10" t="s">
        <v>6</v>
      </c>
      <c r="B10" t="s">
        <v>8</v>
      </c>
      <c r="C10" t="s">
        <v>51</v>
      </c>
      <c r="D10">
        <v>192.96395949999999</v>
      </c>
    </row>
    <row r="11" spans="1:4" x14ac:dyDescent="0.3">
      <c r="A11" t="s">
        <v>14</v>
      </c>
      <c r="B11" t="s">
        <v>15</v>
      </c>
      <c r="C11" t="s">
        <v>43</v>
      </c>
      <c r="D11">
        <v>24692.651788899999</v>
      </c>
    </row>
    <row r="12" spans="1:4" x14ac:dyDescent="0.3">
      <c r="A12" t="s">
        <v>14</v>
      </c>
      <c r="B12" t="s">
        <v>52</v>
      </c>
      <c r="C12" t="s">
        <v>44</v>
      </c>
      <c r="D12">
        <v>20373.003813200001</v>
      </c>
    </row>
    <row r="13" spans="1:4" x14ac:dyDescent="0.3">
      <c r="A13" t="s">
        <v>14</v>
      </c>
      <c r="B13" t="s">
        <v>53</v>
      </c>
      <c r="C13" t="s">
        <v>45</v>
      </c>
      <c r="D13">
        <v>14603.9651383</v>
      </c>
    </row>
    <row r="14" spans="1:4" x14ac:dyDescent="0.3">
      <c r="A14" t="s">
        <v>14</v>
      </c>
      <c r="B14" t="s">
        <v>54</v>
      </c>
      <c r="C14" t="s">
        <v>46</v>
      </c>
      <c r="D14">
        <v>5963.8012383000005</v>
      </c>
    </row>
    <row r="15" spans="1:4" x14ac:dyDescent="0.3">
      <c r="A15" t="s">
        <v>14</v>
      </c>
      <c r="B15" t="s">
        <v>15</v>
      </c>
      <c r="C15" t="s">
        <v>47</v>
      </c>
      <c r="D15">
        <v>3573.6678222999999</v>
      </c>
    </row>
    <row r="16" spans="1:4" x14ac:dyDescent="0.3">
      <c r="A16" t="s">
        <v>14</v>
      </c>
      <c r="B16" t="s">
        <v>55</v>
      </c>
      <c r="C16" t="s">
        <v>49</v>
      </c>
      <c r="D16">
        <v>3316.9687935000002</v>
      </c>
    </row>
    <row r="17" spans="1:4" x14ac:dyDescent="0.3">
      <c r="A17" t="s">
        <v>14</v>
      </c>
      <c r="B17" t="s">
        <v>15</v>
      </c>
      <c r="C17" t="s">
        <v>48</v>
      </c>
      <c r="D17">
        <v>2654.7628361999996</v>
      </c>
    </row>
    <row r="18" spans="1:4" x14ac:dyDescent="0.3">
      <c r="A18" t="s">
        <v>14</v>
      </c>
      <c r="B18" t="s">
        <v>52</v>
      </c>
      <c r="C18" t="s">
        <v>50</v>
      </c>
      <c r="D18">
        <v>1238.0712530000001</v>
      </c>
    </row>
    <row r="19" spans="1:4" x14ac:dyDescent="0.3">
      <c r="A19" t="s">
        <v>14</v>
      </c>
      <c r="B19" t="s">
        <v>15</v>
      </c>
      <c r="C19" t="s">
        <v>51</v>
      </c>
      <c r="D19">
        <v>192.32044349999998</v>
      </c>
    </row>
    <row r="20" spans="1:4" x14ac:dyDescent="0.3">
      <c r="A20" t="s">
        <v>17</v>
      </c>
      <c r="B20" t="s">
        <v>18</v>
      </c>
      <c r="C20" t="s">
        <v>43</v>
      </c>
      <c r="D20">
        <v>19186.032440000003</v>
      </c>
    </row>
    <row r="21" spans="1:4" x14ac:dyDescent="0.3">
      <c r="A21" t="s">
        <v>17</v>
      </c>
      <c r="B21" t="s">
        <v>18</v>
      </c>
      <c r="C21" t="s">
        <v>44</v>
      </c>
      <c r="D21">
        <v>14874.1666878</v>
      </c>
    </row>
    <row r="22" spans="1:4" x14ac:dyDescent="0.3">
      <c r="A22" t="s">
        <v>17</v>
      </c>
      <c r="B22" t="s">
        <v>19</v>
      </c>
      <c r="C22" t="s">
        <v>45</v>
      </c>
      <c r="D22">
        <v>11852.5877588</v>
      </c>
    </row>
    <row r="23" spans="1:4" x14ac:dyDescent="0.3">
      <c r="A23" t="s">
        <v>17</v>
      </c>
      <c r="B23" t="s">
        <v>56</v>
      </c>
      <c r="C23" t="s">
        <v>46</v>
      </c>
      <c r="D23">
        <v>6135.9530198000002</v>
      </c>
    </row>
    <row r="24" spans="1:4" x14ac:dyDescent="0.3">
      <c r="A24" t="s">
        <v>17</v>
      </c>
      <c r="B24" t="s">
        <v>57</v>
      </c>
      <c r="C24" t="s">
        <v>49</v>
      </c>
      <c r="D24">
        <v>3199.6513221</v>
      </c>
    </row>
    <row r="25" spans="1:4" x14ac:dyDescent="0.3">
      <c r="A25" t="s">
        <v>17</v>
      </c>
      <c r="B25" t="s">
        <v>58</v>
      </c>
      <c r="C25" t="s">
        <v>47</v>
      </c>
      <c r="D25">
        <v>2763.8925564000001</v>
      </c>
    </row>
    <row r="26" spans="1:4" x14ac:dyDescent="0.3">
      <c r="A26" t="s">
        <v>17</v>
      </c>
      <c r="B26" t="s">
        <v>18</v>
      </c>
      <c r="C26" t="s">
        <v>48</v>
      </c>
      <c r="D26">
        <v>1580.7259437</v>
      </c>
    </row>
    <row r="27" spans="1:4" x14ac:dyDescent="0.3">
      <c r="A27" t="s">
        <v>17</v>
      </c>
      <c r="B27" t="s">
        <v>59</v>
      </c>
      <c r="C27" t="s">
        <v>50</v>
      </c>
      <c r="D27">
        <v>1167.1224856000001</v>
      </c>
    </row>
    <row r="28" spans="1:4" x14ac:dyDescent="0.3">
      <c r="A28" t="s">
        <v>17</v>
      </c>
      <c r="B28" t="s">
        <v>18</v>
      </c>
      <c r="C28" t="s">
        <v>51</v>
      </c>
      <c r="D28">
        <v>172.95158470000001</v>
      </c>
    </row>
    <row r="29" spans="1:4" x14ac:dyDescent="0.3">
      <c r="A29" t="s">
        <v>20</v>
      </c>
      <c r="B29" t="s">
        <v>21</v>
      </c>
      <c r="C29" t="s">
        <v>43</v>
      </c>
      <c r="D29">
        <v>15159.480929900001</v>
      </c>
    </row>
    <row r="30" spans="1:4" x14ac:dyDescent="0.3">
      <c r="A30" t="s">
        <v>20</v>
      </c>
      <c r="B30" t="s">
        <v>39</v>
      </c>
      <c r="C30" t="s">
        <v>44</v>
      </c>
      <c r="D30">
        <v>13329.106218200001</v>
      </c>
    </row>
    <row r="31" spans="1:4" x14ac:dyDescent="0.3">
      <c r="A31" t="s">
        <v>20</v>
      </c>
      <c r="B31" t="s">
        <v>22</v>
      </c>
      <c r="C31" t="s">
        <v>45</v>
      </c>
      <c r="D31">
        <v>11327.854494699999</v>
      </c>
    </row>
    <row r="32" spans="1:4" x14ac:dyDescent="0.3">
      <c r="A32" t="s">
        <v>20</v>
      </c>
      <c r="B32" t="s">
        <v>60</v>
      </c>
      <c r="C32" t="s">
        <v>46</v>
      </c>
      <c r="D32">
        <v>6175.8825876999999</v>
      </c>
    </row>
    <row r="33" spans="1:4" x14ac:dyDescent="0.3">
      <c r="A33" t="s">
        <v>20</v>
      </c>
      <c r="B33" t="s">
        <v>21</v>
      </c>
      <c r="C33" t="s">
        <v>49</v>
      </c>
      <c r="D33">
        <v>2962.7260399000002</v>
      </c>
    </row>
    <row r="34" spans="1:4" x14ac:dyDescent="0.3">
      <c r="A34" t="s">
        <v>20</v>
      </c>
      <c r="B34" t="s">
        <v>61</v>
      </c>
      <c r="C34" t="s">
        <v>47</v>
      </c>
      <c r="D34">
        <v>2827.3504020999999</v>
      </c>
    </row>
    <row r="35" spans="1:4" x14ac:dyDescent="0.3">
      <c r="A35" t="s">
        <v>20</v>
      </c>
      <c r="B35" t="s">
        <v>62</v>
      </c>
      <c r="C35" t="s">
        <v>48</v>
      </c>
      <c r="D35">
        <v>1545.8273458000001</v>
      </c>
    </row>
    <row r="36" spans="1:4" x14ac:dyDescent="0.3">
      <c r="A36" t="s">
        <v>20</v>
      </c>
      <c r="B36" t="s">
        <v>40</v>
      </c>
      <c r="C36" t="s">
        <v>50</v>
      </c>
      <c r="D36">
        <v>1371.3210296</v>
      </c>
    </row>
    <row r="37" spans="1:4" x14ac:dyDescent="0.3">
      <c r="A37" t="s">
        <v>20</v>
      </c>
      <c r="B37" t="s">
        <v>39</v>
      </c>
      <c r="C37" t="s">
        <v>51</v>
      </c>
      <c r="D37">
        <v>155.0259758</v>
      </c>
    </row>
    <row r="38" spans="1:4" x14ac:dyDescent="0.3">
      <c r="A38" t="s">
        <v>25</v>
      </c>
      <c r="B38" t="s">
        <v>26</v>
      </c>
      <c r="C38" t="s">
        <v>43</v>
      </c>
      <c r="D38">
        <v>14730.2217962</v>
      </c>
    </row>
    <row r="39" spans="1:4" x14ac:dyDescent="0.3">
      <c r="A39" t="s">
        <v>25</v>
      </c>
      <c r="B39" t="s">
        <v>26</v>
      </c>
      <c r="C39" t="s">
        <v>44</v>
      </c>
      <c r="D39">
        <v>12914.254797</v>
      </c>
    </row>
    <row r="40" spans="1:4" x14ac:dyDescent="0.3">
      <c r="A40" t="s">
        <v>25</v>
      </c>
      <c r="B40" t="s">
        <v>63</v>
      </c>
      <c r="C40" t="s">
        <v>45</v>
      </c>
      <c r="D40">
        <v>11854.9673822</v>
      </c>
    </row>
    <row r="41" spans="1:4" x14ac:dyDescent="0.3">
      <c r="A41" t="s">
        <v>25</v>
      </c>
      <c r="B41" t="s">
        <v>64</v>
      </c>
      <c r="C41" t="s">
        <v>46</v>
      </c>
      <c r="D41">
        <v>5963.5456759999997</v>
      </c>
    </row>
    <row r="42" spans="1:4" x14ac:dyDescent="0.3">
      <c r="A42" t="s">
        <v>25</v>
      </c>
      <c r="B42" t="s">
        <v>26</v>
      </c>
      <c r="C42" t="s">
        <v>47</v>
      </c>
      <c r="D42">
        <v>2834.1554807000002</v>
      </c>
    </row>
    <row r="43" spans="1:4" x14ac:dyDescent="0.3">
      <c r="A43" t="s">
        <v>25</v>
      </c>
      <c r="B43" t="s">
        <v>27</v>
      </c>
      <c r="C43" t="s">
        <v>49</v>
      </c>
      <c r="D43">
        <v>2762.8686376000001</v>
      </c>
    </row>
    <row r="44" spans="1:4" x14ac:dyDescent="0.3">
      <c r="A44" t="s">
        <v>25</v>
      </c>
      <c r="B44" t="s">
        <v>65</v>
      </c>
      <c r="C44" t="s">
        <v>48</v>
      </c>
      <c r="D44">
        <v>1569.4808044000001</v>
      </c>
    </row>
    <row r="45" spans="1:4" x14ac:dyDescent="0.3">
      <c r="A45" t="s">
        <v>25</v>
      </c>
      <c r="B45" t="s">
        <v>26</v>
      </c>
      <c r="C45" t="s">
        <v>50</v>
      </c>
      <c r="D45">
        <v>1246.3123248000002</v>
      </c>
    </row>
    <row r="46" spans="1:4" x14ac:dyDescent="0.3">
      <c r="A46" t="s">
        <v>25</v>
      </c>
      <c r="B46" t="s">
        <v>26</v>
      </c>
      <c r="C46" t="s">
        <v>51</v>
      </c>
      <c r="D46">
        <v>148.881809</v>
      </c>
    </row>
  </sheetData>
  <pageMargins left="0.75" right="0.75" top="1" bottom="1" header="0.5" footer="0.5"/>
  <headerFooter>
    <oddHeader>&amp;R&amp;"Aptos"&amp;10&amp;K000000 Business Use&amp;1#_x000D_</oddHeader>
  </headerFooter>
  <customProperties>
    <customPr name="IbpWorksheetKeyString_GU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42</v>
      </c>
      <c r="E1" s="1" t="s">
        <v>3</v>
      </c>
    </row>
    <row r="2" spans="1:5" x14ac:dyDescent="0.3">
      <c r="A2" t="s">
        <v>6</v>
      </c>
      <c r="B2" t="s">
        <v>7</v>
      </c>
      <c r="C2" t="s">
        <v>8</v>
      </c>
      <c r="D2" t="s">
        <v>44</v>
      </c>
      <c r="E2">
        <v>8684935.2975999992</v>
      </c>
    </row>
    <row r="3" spans="1:5" x14ac:dyDescent="0.3">
      <c r="A3" t="s">
        <v>6</v>
      </c>
      <c r="B3" t="s">
        <v>7</v>
      </c>
      <c r="C3" t="s">
        <v>8</v>
      </c>
      <c r="D3" t="s">
        <v>43</v>
      </c>
      <c r="E3">
        <v>6285113.6595999999</v>
      </c>
    </row>
    <row r="4" spans="1:5" x14ac:dyDescent="0.3">
      <c r="A4" t="s">
        <v>6</v>
      </c>
      <c r="B4" t="s">
        <v>7</v>
      </c>
      <c r="C4" t="s">
        <v>8</v>
      </c>
      <c r="D4" t="s">
        <v>47</v>
      </c>
      <c r="E4">
        <v>1828875.1662000001</v>
      </c>
    </row>
    <row r="5" spans="1:5" x14ac:dyDescent="0.3">
      <c r="A5" t="s">
        <v>6</v>
      </c>
      <c r="B5" t="s">
        <v>7</v>
      </c>
      <c r="C5" t="s">
        <v>8</v>
      </c>
      <c r="D5" t="s">
        <v>46</v>
      </c>
      <c r="E5">
        <v>722184.49049999996</v>
      </c>
    </row>
    <row r="6" spans="1:5" x14ac:dyDescent="0.3">
      <c r="A6" t="s">
        <v>6</v>
      </c>
      <c r="B6" t="s">
        <v>7</v>
      </c>
      <c r="C6" t="s">
        <v>8</v>
      </c>
      <c r="D6" t="s">
        <v>50</v>
      </c>
      <c r="E6">
        <v>270919.68089999998</v>
      </c>
    </row>
    <row r="7" spans="1:5" x14ac:dyDescent="0.3">
      <c r="A7" t="s">
        <v>6</v>
      </c>
      <c r="B7" t="s">
        <v>9</v>
      </c>
      <c r="C7" t="s">
        <v>8</v>
      </c>
      <c r="D7" t="s">
        <v>43</v>
      </c>
      <c r="E7">
        <v>17341903.014199998</v>
      </c>
    </row>
    <row r="8" spans="1:5" x14ac:dyDescent="0.3">
      <c r="A8" t="s">
        <v>6</v>
      </c>
      <c r="B8" t="s">
        <v>9</v>
      </c>
      <c r="C8" t="s">
        <v>8</v>
      </c>
      <c r="D8" t="s">
        <v>45</v>
      </c>
      <c r="E8">
        <v>12466718.892999999</v>
      </c>
    </row>
    <row r="9" spans="1:5" x14ac:dyDescent="0.3">
      <c r="A9" t="s">
        <v>6</v>
      </c>
      <c r="B9" t="s">
        <v>9</v>
      </c>
      <c r="C9" t="s">
        <v>8</v>
      </c>
      <c r="D9" t="s">
        <v>44</v>
      </c>
      <c r="E9">
        <v>9487000.5088999998</v>
      </c>
    </row>
    <row r="10" spans="1:5" x14ac:dyDescent="0.3">
      <c r="A10" t="s">
        <v>6</v>
      </c>
      <c r="B10" t="s">
        <v>9</v>
      </c>
      <c r="C10" t="s">
        <v>8</v>
      </c>
      <c r="D10" t="s">
        <v>46</v>
      </c>
      <c r="E10">
        <v>3355271.8849999998</v>
      </c>
    </row>
    <row r="11" spans="1:5" x14ac:dyDescent="0.3">
      <c r="A11" t="s">
        <v>6</v>
      </c>
      <c r="B11" t="s">
        <v>9</v>
      </c>
      <c r="C11" t="s">
        <v>8</v>
      </c>
      <c r="D11" t="s">
        <v>48</v>
      </c>
      <c r="E11">
        <v>2537165.3295</v>
      </c>
    </row>
    <row r="12" spans="1:5" x14ac:dyDescent="0.3">
      <c r="A12" t="s">
        <v>6</v>
      </c>
      <c r="B12" t="s">
        <v>9</v>
      </c>
      <c r="C12" t="s">
        <v>8</v>
      </c>
      <c r="D12" t="s">
        <v>47</v>
      </c>
      <c r="E12">
        <v>1587132.7004</v>
      </c>
    </row>
    <row r="13" spans="1:5" x14ac:dyDescent="0.3">
      <c r="A13" t="s">
        <v>6</v>
      </c>
      <c r="B13" t="s">
        <v>9</v>
      </c>
      <c r="C13" t="s">
        <v>8</v>
      </c>
      <c r="D13" t="s">
        <v>49</v>
      </c>
      <c r="E13">
        <v>1572768.7918</v>
      </c>
    </row>
    <row r="14" spans="1:5" x14ac:dyDescent="0.3">
      <c r="A14" t="s">
        <v>6</v>
      </c>
      <c r="B14" t="s">
        <v>9</v>
      </c>
      <c r="C14" t="s">
        <v>8</v>
      </c>
      <c r="D14" t="s">
        <v>50</v>
      </c>
      <c r="E14">
        <v>946624.1067</v>
      </c>
    </row>
    <row r="15" spans="1:5" x14ac:dyDescent="0.3">
      <c r="A15" t="s">
        <v>6</v>
      </c>
      <c r="B15" t="s">
        <v>9</v>
      </c>
      <c r="C15" t="s">
        <v>8</v>
      </c>
      <c r="D15" t="s">
        <v>51</v>
      </c>
      <c r="E15">
        <v>192963.9595</v>
      </c>
    </row>
    <row r="16" spans="1:5" x14ac:dyDescent="0.3">
      <c r="A16" t="s">
        <v>6</v>
      </c>
      <c r="B16" t="s">
        <v>10</v>
      </c>
      <c r="C16" t="s">
        <v>8</v>
      </c>
      <c r="D16" t="s">
        <v>43</v>
      </c>
      <c r="E16">
        <v>2146006.5569000002</v>
      </c>
    </row>
    <row r="17" spans="1:5" x14ac:dyDescent="0.3">
      <c r="A17" t="s">
        <v>6</v>
      </c>
      <c r="B17" t="s">
        <v>10</v>
      </c>
      <c r="C17" t="s">
        <v>11</v>
      </c>
      <c r="D17" t="s">
        <v>45</v>
      </c>
      <c r="E17">
        <v>811515.61699999997</v>
      </c>
    </row>
    <row r="18" spans="1:5" x14ac:dyDescent="0.3">
      <c r="A18" t="s">
        <v>6</v>
      </c>
      <c r="B18" t="s">
        <v>10</v>
      </c>
      <c r="C18" t="s">
        <v>8</v>
      </c>
      <c r="D18" t="s">
        <v>48</v>
      </c>
      <c r="E18">
        <v>24341.133600000001</v>
      </c>
    </row>
    <row r="19" spans="1:5" x14ac:dyDescent="0.3">
      <c r="A19" t="s">
        <v>6</v>
      </c>
      <c r="B19" t="s">
        <v>10</v>
      </c>
      <c r="C19" t="s">
        <v>8</v>
      </c>
      <c r="D19" t="s">
        <v>47</v>
      </c>
      <c r="E19">
        <v>11927.0915</v>
      </c>
    </row>
    <row r="20" spans="1:5" x14ac:dyDescent="0.3">
      <c r="A20" t="s">
        <v>6</v>
      </c>
      <c r="B20" t="s">
        <v>10</v>
      </c>
      <c r="C20" t="s">
        <v>11</v>
      </c>
      <c r="D20" t="s">
        <v>49</v>
      </c>
      <c r="E20">
        <v>1702.7081000000001</v>
      </c>
    </row>
    <row r="21" spans="1:5" x14ac:dyDescent="0.3">
      <c r="A21" t="s">
        <v>6</v>
      </c>
      <c r="B21" t="s">
        <v>12</v>
      </c>
      <c r="C21" t="s">
        <v>11</v>
      </c>
      <c r="D21" t="s">
        <v>44</v>
      </c>
      <c r="E21">
        <v>321523.30660000001</v>
      </c>
    </row>
    <row r="22" spans="1:5" x14ac:dyDescent="0.3">
      <c r="A22" t="s">
        <v>6</v>
      </c>
      <c r="B22" t="s">
        <v>12</v>
      </c>
      <c r="C22" t="s">
        <v>8</v>
      </c>
      <c r="D22" t="s">
        <v>47</v>
      </c>
      <c r="E22">
        <v>238081.08850000001</v>
      </c>
    </row>
    <row r="23" spans="1:5" x14ac:dyDescent="0.3">
      <c r="A23" t="s">
        <v>6</v>
      </c>
      <c r="B23" t="s">
        <v>12</v>
      </c>
      <c r="C23" t="s">
        <v>8</v>
      </c>
      <c r="D23" t="s">
        <v>43</v>
      </c>
      <c r="E23">
        <v>0</v>
      </c>
    </row>
    <row r="24" spans="1:5" x14ac:dyDescent="0.3">
      <c r="A24" t="s">
        <v>6</v>
      </c>
      <c r="B24" t="s">
        <v>13</v>
      </c>
      <c r="C24" t="s">
        <v>11</v>
      </c>
      <c r="D24" t="s">
        <v>45</v>
      </c>
      <c r="E24">
        <v>1624404.4158000001</v>
      </c>
    </row>
    <row r="25" spans="1:5" x14ac:dyDescent="0.3">
      <c r="A25" t="s">
        <v>14</v>
      </c>
      <c r="B25" t="s">
        <v>7</v>
      </c>
      <c r="C25" t="s">
        <v>15</v>
      </c>
      <c r="D25" t="s">
        <v>44</v>
      </c>
      <c r="E25">
        <v>9889423.6390000004</v>
      </c>
    </row>
    <row r="26" spans="1:5" x14ac:dyDescent="0.3">
      <c r="A26" t="s">
        <v>14</v>
      </c>
      <c r="B26" t="s">
        <v>7</v>
      </c>
      <c r="C26" t="s">
        <v>15</v>
      </c>
      <c r="D26" t="s">
        <v>43</v>
      </c>
      <c r="E26">
        <v>5997797.6693000002</v>
      </c>
    </row>
    <row r="27" spans="1:5" x14ac:dyDescent="0.3">
      <c r="A27" t="s">
        <v>14</v>
      </c>
      <c r="B27" t="s">
        <v>7</v>
      </c>
      <c r="C27" t="s">
        <v>15</v>
      </c>
      <c r="D27" t="s">
        <v>47</v>
      </c>
      <c r="E27">
        <v>1796165.0027000001</v>
      </c>
    </row>
    <row r="28" spans="1:5" x14ac:dyDescent="0.3">
      <c r="A28" t="s">
        <v>14</v>
      </c>
      <c r="B28" t="s">
        <v>7</v>
      </c>
      <c r="C28" t="s">
        <v>54</v>
      </c>
      <c r="D28" t="s">
        <v>46</v>
      </c>
      <c r="E28">
        <v>1453749.1233000001</v>
      </c>
    </row>
    <row r="29" spans="1:5" x14ac:dyDescent="0.3">
      <c r="A29" t="s">
        <v>14</v>
      </c>
      <c r="B29" t="s">
        <v>7</v>
      </c>
      <c r="C29" t="s">
        <v>66</v>
      </c>
      <c r="D29" t="s">
        <v>50</v>
      </c>
      <c r="E29">
        <v>341287.712</v>
      </c>
    </row>
    <row r="30" spans="1:5" x14ac:dyDescent="0.3">
      <c r="A30" t="s">
        <v>14</v>
      </c>
      <c r="B30" t="s">
        <v>9</v>
      </c>
      <c r="C30" t="s">
        <v>15</v>
      </c>
      <c r="D30" t="s">
        <v>43</v>
      </c>
      <c r="E30">
        <v>16614405.520400001</v>
      </c>
    </row>
    <row r="31" spans="1:5" x14ac:dyDescent="0.3">
      <c r="A31" t="s">
        <v>14</v>
      </c>
      <c r="B31" t="s">
        <v>9</v>
      </c>
      <c r="C31" t="s">
        <v>53</v>
      </c>
      <c r="D31" t="s">
        <v>45</v>
      </c>
      <c r="E31">
        <v>12141451.358999999</v>
      </c>
    </row>
    <row r="32" spans="1:5" x14ac:dyDescent="0.3">
      <c r="A32" t="s">
        <v>14</v>
      </c>
      <c r="B32" t="s">
        <v>9</v>
      </c>
      <c r="C32" t="s">
        <v>52</v>
      </c>
      <c r="D32" t="s">
        <v>44</v>
      </c>
      <c r="E32">
        <v>10182146.4977</v>
      </c>
    </row>
    <row r="33" spans="1:5" x14ac:dyDescent="0.3">
      <c r="A33" t="s">
        <v>14</v>
      </c>
      <c r="B33" t="s">
        <v>9</v>
      </c>
      <c r="C33" t="s">
        <v>67</v>
      </c>
      <c r="D33" t="s">
        <v>46</v>
      </c>
      <c r="E33">
        <v>4547170.8600000003</v>
      </c>
    </row>
    <row r="34" spans="1:5" x14ac:dyDescent="0.3">
      <c r="A34" t="s">
        <v>14</v>
      </c>
      <c r="B34" t="s">
        <v>9</v>
      </c>
      <c r="C34" t="s">
        <v>55</v>
      </c>
      <c r="D34" t="s">
        <v>49</v>
      </c>
      <c r="E34">
        <v>3313707.5208999999</v>
      </c>
    </row>
    <row r="35" spans="1:5" x14ac:dyDescent="0.3">
      <c r="A35" t="s">
        <v>14</v>
      </c>
      <c r="B35" t="s">
        <v>9</v>
      </c>
      <c r="C35" t="s">
        <v>15</v>
      </c>
      <c r="D35" t="s">
        <v>48</v>
      </c>
      <c r="E35">
        <v>2632273.1672</v>
      </c>
    </row>
    <row r="36" spans="1:5" x14ac:dyDescent="0.3">
      <c r="A36" t="s">
        <v>14</v>
      </c>
      <c r="B36" t="s">
        <v>9</v>
      </c>
      <c r="C36" t="s">
        <v>68</v>
      </c>
      <c r="D36" t="s">
        <v>47</v>
      </c>
      <c r="E36">
        <v>1550402.5752000001</v>
      </c>
    </row>
    <row r="37" spans="1:5" x14ac:dyDescent="0.3">
      <c r="A37" t="s">
        <v>14</v>
      </c>
      <c r="B37" t="s">
        <v>9</v>
      </c>
      <c r="C37" t="s">
        <v>15</v>
      </c>
      <c r="D37" t="s">
        <v>50</v>
      </c>
      <c r="E37">
        <v>931553.74399999995</v>
      </c>
    </row>
    <row r="38" spans="1:5" x14ac:dyDescent="0.3">
      <c r="A38" t="s">
        <v>14</v>
      </c>
      <c r="B38" t="s">
        <v>9</v>
      </c>
      <c r="C38" t="s">
        <v>15</v>
      </c>
      <c r="D38" t="s">
        <v>51</v>
      </c>
      <c r="E38">
        <v>192320.44349999999</v>
      </c>
    </row>
    <row r="39" spans="1:5" x14ac:dyDescent="0.3">
      <c r="A39" t="s">
        <v>14</v>
      </c>
      <c r="B39" t="s">
        <v>10</v>
      </c>
      <c r="C39" t="s">
        <v>15</v>
      </c>
      <c r="D39" t="s">
        <v>43</v>
      </c>
      <c r="E39">
        <v>2080448.5992000001</v>
      </c>
    </row>
    <row r="40" spans="1:5" x14ac:dyDescent="0.3">
      <c r="A40" t="s">
        <v>14</v>
      </c>
      <c r="B40" t="s">
        <v>10</v>
      </c>
      <c r="C40" t="s">
        <v>53</v>
      </c>
      <c r="D40" t="s">
        <v>45</v>
      </c>
      <c r="E40">
        <v>847132.39069999999</v>
      </c>
    </row>
    <row r="41" spans="1:5" x14ac:dyDescent="0.3">
      <c r="A41" t="s">
        <v>14</v>
      </c>
      <c r="B41" t="s">
        <v>10</v>
      </c>
      <c r="C41" t="s">
        <v>15</v>
      </c>
      <c r="D41" t="s">
        <v>48</v>
      </c>
      <c r="E41">
        <v>22489.669000000002</v>
      </c>
    </row>
    <row r="42" spans="1:5" x14ac:dyDescent="0.3">
      <c r="A42" t="s">
        <v>14</v>
      </c>
      <c r="B42" t="s">
        <v>10</v>
      </c>
      <c r="C42" t="s">
        <v>15</v>
      </c>
      <c r="D42" t="s">
        <v>47</v>
      </c>
      <c r="E42">
        <v>11545.9205</v>
      </c>
    </row>
    <row r="43" spans="1:5" x14ac:dyDescent="0.3">
      <c r="A43" t="s">
        <v>14</v>
      </c>
      <c r="B43" t="s">
        <v>10</v>
      </c>
      <c r="C43" t="s">
        <v>69</v>
      </c>
      <c r="D43" t="s">
        <v>49</v>
      </c>
      <c r="E43">
        <v>3340.3492000000001</v>
      </c>
    </row>
    <row r="44" spans="1:5" x14ac:dyDescent="0.3">
      <c r="A44" t="s">
        <v>14</v>
      </c>
      <c r="B44" t="s">
        <v>12</v>
      </c>
      <c r="C44" t="s">
        <v>15</v>
      </c>
      <c r="D44" t="s">
        <v>44</v>
      </c>
      <c r="E44">
        <v>313187.30800000002</v>
      </c>
    </row>
    <row r="45" spans="1:5" x14ac:dyDescent="0.3">
      <c r="A45" t="s">
        <v>14</v>
      </c>
      <c r="B45" t="s">
        <v>12</v>
      </c>
      <c r="C45" t="s">
        <v>15</v>
      </c>
      <c r="D45" t="s">
        <v>47</v>
      </c>
      <c r="E45">
        <v>228491.78599999999</v>
      </c>
    </row>
    <row r="46" spans="1:5" x14ac:dyDescent="0.3">
      <c r="A46" t="s">
        <v>14</v>
      </c>
      <c r="B46" t="s">
        <v>12</v>
      </c>
      <c r="C46" t="s">
        <v>15</v>
      </c>
      <c r="D46" t="s">
        <v>43</v>
      </c>
      <c r="E46">
        <v>0</v>
      </c>
    </row>
    <row r="47" spans="1:5" x14ac:dyDescent="0.3">
      <c r="A47" t="s">
        <v>14</v>
      </c>
      <c r="B47" t="s">
        <v>13</v>
      </c>
      <c r="C47" t="s">
        <v>15</v>
      </c>
      <c r="D47" t="s">
        <v>45</v>
      </c>
      <c r="E47">
        <v>1619130.6032</v>
      </c>
    </row>
    <row r="48" spans="1:5" x14ac:dyDescent="0.3">
      <c r="A48" t="s">
        <v>17</v>
      </c>
      <c r="B48" t="s">
        <v>7</v>
      </c>
      <c r="C48" t="s">
        <v>18</v>
      </c>
      <c r="D48" t="s">
        <v>44</v>
      </c>
      <c r="E48">
        <v>7683985.6155000003</v>
      </c>
    </row>
    <row r="49" spans="1:5" x14ac:dyDescent="0.3">
      <c r="A49" t="s">
        <v>17</v>
      </c>
      <c r="B49" t="s">
        <v>7</v>
      </c>
      <c r="C49" t="s">
        <v>70</v>
      </c>
      <c r="D49" t="s">
        <v>43</v>
      </c>
      <c r="E49">
        <v>4644225.9933000002</v>
      </c>
    </row>
    <row r="50" spans="1:5" x14ac:dyDescent="0.3">
      <c r="A50" t="s">
        <v>17</v>
      </c>
      <c r="B50" t="s">
        <v>7</v>
      </c>
      <c r="C50" t="s">
        <v>71</v>
      </c>
      <c r="D50" t="s">
        <v>46</v>
      </c>
      <c r="E50">
        <v>1587846.9506999999</v>
      </c>
    </row>
    <row r="51" spans="1:5" x14ac:dyDescent="0.3">
      <c r="A51" t="s">
        <v>17</v>
      </c>
      <c r="B51" t="s">
        <v>7</v>
      </c>
      <c r="C51" t="s">
        <v>18</v>
      </c>
      <c r="D51" t="s">
        <v>47</v>
      </c>
      <c r="E51">
        <v>1417118.3151</v>
      </c>
    </row>
    <row r="52" spans="1:5" x14ac:dyDescent="0.3">
      <c r="A52" t="s">
        <v>17</v>
      </c>
      <c r="B52" t="s">
        <v>7</v>
      </c>
      <c r="C52" t="s">
        <v>59</v>
      </c>
      <c r="D52" t="s">
        <v>50</v>
      </c>
      <c r="E52">
        <v>574600.04180000001</v>
      </c>
    </row>
    <row r="53" spans="1:5" x14ac:dyDescent="0.3">
      <c r="A53" t="s">
        <v>17</v>
      </c>
      <c r="B53" t="s">
        <v>9</v>
      </c>
      <c r="C53" t="s">
        <v>18</v>
      </c>
      <c r="D53" t="s">
        <v>43</v>
      </c>
      <c r="E53">
        <v>13127637.138900001</v>
      </c>
    </row>
    <row r="54" spans="1:5" x14ac:dyDescent="0.3">
      <c r="A54" t="s">
        <v>17</v>
      </c>
      <c r="B54" t="s">
        <v>9</v>
      </c>
      <c r="C54" t="s">
        <v>72</v>
      </c>
      <c r="D54" t="s">
        <v>45</v>
      </c>
      <c r="E54">
        <v>9980064.6744999997</v>
      </c>
    </row>
    <row r="55" spans="1:5" x14ac:dyDescent="0.3">
      <c r="A55" t="s">
        <v>17</v>
      </c>
      <c r="B55" t="s">
        <v>9</v>
      </c>
      <c r="C55" t="s">
        <v>73</v>
      </c>
      <c r="D55" t="s">
        <v>44</v>
      </c>
      <c r="E55">
        <v>7013034.3592999997</v>
      </c>
    </row>
    <row r="56" spans="1:5" x14ac:dyDescent="0.3">
      <c r="A56" t="s">
        <v>17</v>
      </c>
      <c r="B56" t="s">
        <v>9</v>
      </c>
      <c r="C56" t="s">
        <v>56</v>
      </c>
      <c r="D56" t="s">
        <v>46</v>
      </c>
      <c r="E56">
        <v>4630696.55</v>
      </c>
    </row>
    <row r="57" spans="1:5" x14ac:dyDescent="0.3">
      <c r="A57" t="s">
        <v>17</v>
      </c>
      <c r="B57" t="s">
        <v>9</v>
      </c>
      <c r="C57" t="s">
        <v>57</v>
      </c>
      <c r="D57" t="s">
        <v>49</v>
      </c>
      <c r="E57">
        <v>3196509.8136</v>
      </c>
    </row>
    <row r="58" spans="1:5" x14ac:dyDescent="0.3">
      <c r="A58" t="s">
        <v>17</v>
      </c>
      <c r="B58" t="s">
        <v>9</v>
      </c>
      <c r="C58" t="s">
        <v>18</v>
      </c>
      <c r="D58" t="s">
        <v>48</v>
      </c>
      <c r="E58">
        <v>1574325.2127</v>
      </c>
    </row>
    <row r="59" spans="1:5" x14ac:dyDescent="0.3">
      <c r="A59" t="s">
        <v>17</v>
      </c>
      <c r="B59" t="s">
        <v>9</v>
      </c>
      <c r="C59" t="s">
        <v>58</v>
      </c>
      <c r="D59" t="s">
        <v>47</v>
      </c>
      <c r="E59">
        <v>1301874.7032999999</v>
      </c>
    </row>
    <row r="60" spans="1:5" x14ac:dyDescent="0.3">
      <c r="A60" t="s">
        <v>17</v>
      </c>
      <c r="B60" t="s">
        <v>9</v>
      </c>
      <c r="C60" t="s">
        <v>73</v>
      </c>
      <c r="D60" t="s">
        <v>50</v>
      </c>
      <c r="E60">
        <v>681540.02610000002</v>
      </c>
    </row>
    <row r="61" spans="1:5" x14ac:dyDescent="0.3">
      <c r="A61" t="s">
        <v>17</v>
      </c>
      <c r="B61" t="s">
        <v>9</v>
      </c>
      <c r="C61" t="s">
        <v>18</v>
      </c>
      <c r="D61" t="s">
        <v>51</v>
      </c>
      <c r="E61">
        <v>172951.58470000001</v>
      </c>
    </row>
    <row r="62" spans="1:5" x14ac:dyDescent="0.3">
      <c r="A62" t="s">
        <v>17</v>
      </c>
      <c r="B62" t="s">
        <v>10</v>
      </c>
      <c r="C62" t="s">
        <v>18</v>
      </c>
      <c r="D62" t="s">
        <v>43</v>
      </c>
      <c r="E62">
        <v>1508035.0658</v>
      </c>
    </row>
    <row r="63" spans="1:5" x14ac:dyDescent="0.3">
      <c r="A63" t="s">
        <v>17</v>
      </c>
      <c r="B63" t="s">
        <v>10</v>
      </c>
      <c r="C63" t="s">
        <v>18</v>
      </c>
      <c r="D63" t="s">
        <v>45</v>
      </c>
      <c r="E63">
        <v>724714.59820000001</v>
      </c>
    </row>
    <row r="64" spans="1:5" x14ac:dyDescent="0.3">
      <c r="A64" t="s">
        <v>17</v>
      </c>
      <c r="B64" t="s">
        <v>10</v>
      </c>
      <c r="C64" t="s">
        <v>74</v>
      </c>
      <c r="D64" t="s">
        <v>47</v>
      </c>
      <c r="E64">
        <v>9868.7680999999993</v>
      </c>
    </row>
    <row r="65" spans="1:5" x14ac:dyDescent="0.3">
      <c r="A65" t="s">
        <v>17</v>
      </c>
      <c r="B65" t="s">
        <v>10</v>
      </c>
      <c r="C65" t="s">
        <v>18</v>
      </c>
      <c r="D65" t="s">
        <v>48</v>
      </c>
      <c r="E65">
        <v>6400.7310000000007</v>
      </c>
    </row>
    <row r="66" spans="1:5" x14ac:dyDescent="0.3">
      <c r="A66" t="s">
        <v>17</v>
      </c>
      <c r="B66" t="s">
        <v>10</v>
      </c>
      <c r="C66" t="s">
        <v>75</v>
      </c>
      <c r="D66" t="s">
        <v>49</v>
      </c>
      <c r="E66">
        <v>3372.3964000000001</v>
      </c>
    </row>
    <row r="67" spans="1:5" x14ac:dyDescent="0.3">
      <c r="A67" t="s">
        <v>17</v>
      </c>
      <c r="B67" t="s">
        <v>12</v>
      </c>
      <c r="C67" t="s">
        <v>18</v>
      </c>
      <c r="D67" t="s">
        <v>44</v>
      </c>
      <c r="E67">
        <v>225025.05970000001</v>
      </c>
    </row>
    <row r="68" spans="1:5" x14ac:dyDescent="0.3">
      <c r="A68" t="s">
        <v>17</v>
      </c>
      <c r="B68" t="s">
        <v>12</v>
      </c>
      <c r="C68" t="s">
        <v>18</v>
      </c>
      <c r="D68" t="s">
        <v>47</v>
      </c>
      <c r="E68">
        <v>132428.14129999999</v>
      </c>
    </row>
    <row r="69" spans="1:5" x14ac:dyDescent="0.3">
      <c r="A69" t="s">
        <v>17</v>
      </c>
      <c r="B69" t="s">
        <v>12</v>
      </c>
      <c r="C69" t="s">
        <v>18</v>
      </c>
      <c r="D69" t="s">
        <v>43</v>
      </c>
      <c r="E69">
        <v>0</v>
      </c>
    </row>
    <row r="70" spans="1:5" x14ac:dyDescent="0.3">
      <c r="A70" t="s">
        <v>17</v>
      </c>
      <c r="B70" t="s">
        <v>13</v>
      </c>
      <c r="C70" t="s">
        <v>18</v>
      </c>
      <c r="D70" t="s">
        <v>45</v>
      </c>
      <c r="E70">
        <v>1249376.8041000001</v>
      </c>
    </row>
    <row r="71" spans="1:5" x14ac:dyDescent="0.3">
      <c r="A71" t="s">
        <v>20</v>
      </c>
      <c r="B71" t="s">
        <v>7</v>
      </c>
      <c r="C71" t="s">
        <v>39</v>
      </c>
      <c r="D71" t="s">
        <v>44</v>
      </c>
      <c r="E71">
        <v>6617918.4666999998</v>
      </c>
    </row>
    <row r="72" spans="1:5" x14ac:dyDescent="0.3">
      <c r="A72" t="s">
        <v>20</v>
      </c>
      <c r="B72" t="s">
        <v>7</v>
      </c>
      <c r="C72" t="s">
        <v>76</v>
      </c>
      <c r="D72" t="s">
        <v>43</v>
      </c>
      <c r="E72">
        <v>4148141.7913000002</v>
      </c>
    </row>
    <row r="73" spans="1:5" x14ac:dyDescent="0.3">
      <c r="A73" t="s">
        <v>20</v>
      </c>
      <c r="B73" t="s">
        <v>7</v>
      </c>
      <c r="C73" t="s">
        <v>77</v>
      </c>
      <c r="D73" t="s">
        <v>46</v>
      </c>
      <c r="E73">
        <v>1516189.3944000001</v>
      </c>
    </row>
    <row r="74" spans="1:5" x14ac:dyDescent="0.3">
      <c r="A74" t="s">
        <v>20</v>
      </c>
      <c r="B74" t="s">
        <v>7</v>
      </c>
      <c r="C74" t="s">
        <v>78</v>
      </c>
      <c r="D74" t="s">
        <v>47</v>
      </c>
      <c r="E74">
        <v>1289194.5832</v>
      </c>
    </row>
    <row r="75" spans="1:5" x14ac:dyDescent="0.3">
      <c r="A75" t="s">
        <v>20</v>
      </c>
      <c r="B75" t="s">
        <v>7</v>
      </c>
      <c r="C75" t="s">
        <v>40</v>
      </c>
      <c r="D75" t="s">
        <v>50</v>
      </c>
      <c r="E75">
        <v>790328.44329999993</v>
      </c>
    </row>
    <row r="76" spans="1:5" x14ac:dyDescent="0.3">
      <c r="A76" t="s">
        <v>20</v>
      </c>
      <c r="B76" t="s">
        <v>9</v>
      </c>
      <c r="C76" t="s">
        <v>21</v>
      </c>
      <c r="D76" t="s">
        <v>43</v>
      </c>
      <c r="E76">
        <v>9824428.3323999997</v>
      </c>
    </row>
    <row r="77" spans="1:5" x14ac:dyDescent="0.3">
      <c r="A77" t="s">
        <v>20</v>
      </c>
      <c r="B77" t="s">
        <v>9</v>
      </c>
      <c r="C77" t="s">
        <v>22</v>
      </c>
      <c r="D77" t="s">
        <v>45</v>
      </c>
      <c r="E77">
        <v>9614750.1731000002</v>
      </c>
    </row>
    <row r="78" spans="1:5" x14ac:dyDescent="0.3">
      <c r="A78" t="s">
        <v>20</v>
      </c>
      <c r="B78" t="s">
        <v>9</v>
      </c>
      <c r="C78" t="s">
        <v>39</v>
      </c>
      <c r="D78" t="s">
        <v>44</v>
      </c>
      <c r="E78">
        <v>6495193.7607000005</v>
      </c>
    </row>
    <row r="79" spans="1:5" x14ac:dyDescent="0.3">
      <c r="A79" t="s">
        <v>20</v>
      </c>
      <c r="B79" t="s">
        <v>9</v>
      </c>
      <c r="C79" t="s">
        <v>60</v>
      </c>
      <c r="D79" t="s">
        <v>46</v>
      </c>
      <c r="E79">
        <v>4702613.9035</v>
      </c>
    </row>
    <row r="80" spans="1:5" x14ac:dyDescent="0.3">
      <c r="A80" t="s">
        <v>20</v>
      </c>
      <c r="B80" t="s">
        <v>9</v>
      </c>
      <c r="C80" t="s">
        <v>21</v>
      </c>
      <c r="D80" t="s">
        <v>49</v>
      </c>
      <c r="E80">
        <v>2959609.8158999998</v>
      </c>
    </row>
    <row r="81" spans="1:5" x14ac:dyDescent="0.3">
      <c r="A81" t="s">
        <v>20</v>
      </c>
      <c r="B81" t="s">
        <v>9</v>
      </c>
      <c r="C81" t="s">
        <v>61</v>
      </c>
      <c r="D81" t="s">
        <v>47</v>
      </c>
      <c r="E81">
        <v>1546241.923</v>
      </c>
    </row>
    <row r="82" spans="1:5" x14ac:dyDescent="0.3">
      <c r="A82" t="s">
        <v>20</v>
      </c>
      <c r="B82" t="s">
        <v>9</v>
      </c>
      <c r="C82" t="s">
        <v>40</v>
      </c>
      <c r="D82" t="s">
        <v>48</v>
      </c>
      <c r="E82">
        <v>1544038.1928999999</v>
      </c>
    </row>
    <row r="83" spans="1:5" x14ac:dyDescent="0.3">
      <c r="A83" t="s">
        <v>20</v>
      </c>
      <c r="B83" t="s">
        <v>9</v>
      </c>
      <c r="C83" t="s">
        <v>79</v>
      </c>
      <c r="D83" t="s">
        <v>50</v>
      </c>
      <c r="E83">
        <v>601972.88910000003</v>
      </c>
    </row>
    <row r="84" spans="1:5" x14ac:dyDescent="0.3">
      <c r="A84" t="s">
        <v>20</v>
      </c>
      <c r="B84" t="s">
        <v>9</v>
      </c>
      <c r="C84" t="s">
        <v>39</v>
      </c>
      <c r="D84" t="s">
        <v>51</v>
      </c>
      <c r="E84">
        <v>155025.97579999999</v>
      </c>
    </row>
    <row r="85" spans="1:5" x14ac:dyDescent="0.3">
      <c r="A85" t="s">
        <v>20</v>
      </c>
      <c r="B85" t="s">
        <v>10</v>
      </c>
      <c r="C85" t="s">
        <v>23</v>
      </c>
      <c r="D85" t="s">
        <v>43</v>
      </c>
      <c r="E85">
        <v>1255848.9323</v>
      </c>
    </row>
    <row r="86" spans="1:5" x14ac:dyDescent="0.3">
      <c r="A86" t="s">
        <v>20</v>
      </c>
      <c r="B86" t="s">
        <v>10</v>
      </c>
      <c r="C86" t="s">
        <v>80</v>
      </c>
      <c r="D86" t="s">
        <v>45</v>
      </c>
      <c r="E86">
        <v>656599.53879999998</v>
      </c>
    </row>
    <row r="87" spans="1:5" x14ac:dyDescent="0.3">
      <c r="A87" t="s">
        <v>20</v>
      </c>
      <c r="B87" t="s">
        <v>10</v>
      </c>
      <c r="C87" t="s">
        <v>81</v>
      </c>
      <c r="D87" t="s">
        <v>47</v>
      </c>
      <c r="E87">
        <v>10478.6417</v>
      </c>
    </row>
    <row r="88" spans="1:5" x14ac:dyDescent="0.3">
      <c r="A88" t="s">
        <v>20</v>
      </c>
      <c r="B88" t="s">
        <v>10</v>
      </c>
      <c r="C88" t="s">
        <v>82</v>
      </c>
      <c r="D88" t="s">
        <v>49</v>
      </c>
      <c r="E88">
        <v>3834.6473999999998</v>
      </c>
    </row>
    <row r="89" spans="1:5" x14ac:dyDescent="0.3">
      <c r="A89" t="s">
        <v>20</v>
      </c>
      <c r="B89" t="s">
        <v>10</v>
      </c>
      <c r="C89" t="s">
        <v>61</v>
      </c>
      <c r="D89" t="s">
        <v>48</v>
      </c>
      <c r="E89">
        <v>3186.0637000000002</v>
      </c>
    </row>
    <row r="90" spans="1:5" x14ac:dyDescent="0.3">
      <c r="A90" t="s">
        <v>20</v>
      </c>
      <c r="B90" t="s">
        <v>12</v>
      </c>
      <c r="C90" t="s">
        <v>39</v>
      </c>
      <c r="D90" t="s">
        <v>44</v>
      </c>
      <c r="E90">
        <v>215993.9908</v>
      </c>
    </row>
    <row r="91" spans="1:5" x14ac:dyDescent="0.3">
      <c r="A91" t="s">
        <v>20</v>
      </c>
      <c r="B91" t="s">
        <v>12</v>
      </c>
      <c r="C91" t="s">
        <v>24</v>
      </c>
      <c r="D91" t="s">
        <v>47</v>
      </c>
      <c r="E91">
        <v>118816.72319999999</v>
      </c>
    </row>
    <row r="92" spans="1:5" x14ac:dyDescent="0.3">
      <c r="A92" t="s">
        <v>20</v>
      </c>
      <c r="B92" t="s">
        <v>12</v>
      </c>
      <c r="C92" t="s">
        <v>39</v>
      </c>
      <c r="D92" t="s">
        <v>43</v>
      </c>
      <c r="E92">
        <v>0</v>
      </c>
    </row>
    <row r="93" spans="1:5" x14ac:dyDescent="0.3">
      <c r="A93" t="s">
        <v>20</v>
      </c>
      <c r="B93" t="s">
        <v>13</v>
      </c>
      <c r="C93" t="s">
        <v>22</v>
      </c>
      <c r="D93" t="s">
        <v>45</v>
      </c>
      <c r="E93">
        <v>1065114.5367999999</v>
      </c>
    </row>
    <row r="94" spans="1:5" x14ac:dyDescent="0.3">
      <c r="A94" t="s">
        <v>25</v>
      </c>
      <c r="B94" t="s">
        <v>7</v>
      </c>
      <c r="C94" t="s">
        <v>26</v>
      </c>
      <c r="D94" t="s">
        <v>44</v>
      </c>
      <c r="E94">
        <v>6405051.2550999997</v>
      </c>
    </row>
    <row r="95" spans="1:5" x14ac:dyDescent="0.3">
      <c r="A95" t="s">
        <v>25</v>
      </c>
      <c r="B95" t="s">
        <v>7</v>
      </c>
      <c r="C95" t="s">
        <v>26</v>
      </c>
      <c r="D95" t="s">
        <v>43</v>
      </c>
      <c r="E95">
        <v>4078010.5871000001</v>
      </c>
    </row>
    <row r="96" spans="1:5" x14ac:dyDescent="0.3">
      <c r="A96" t="s">
        <v>25</v>
      </c>
      <c r="B96" t="s">
        <v>7</v>
      </c>
      <c r="C96" t="s">
        <v>26</v>
      </c>
      <c r="D96" t="s">
        <v>46</v>
      </c>
      <c r="E96">
        <v>1450201.9028</v>
      </c>
    </row>
    <row r="97" spans="1:5" x14ac:dyDescent="0.3">
      <c r="A97" t="s">
        <v>25</v>
      </c>
      <c r="B97" t="s">
        <v>7</v>
      </c>
      <c r="C97" t="s">
        <v>63</v>
      </c>
      <c r="D97" t="s">
        <v>47</v>
      </c>
      <c r="E97">
        <v>1256892.0999</v>
      </c>
    </row>
    <row r="98" spans="1:5" x14ac:dyDescent="0.3">
      <c r="A98" t="s">
        <v>25</v>
      </c>
      <c r="B98" t="s">
        <v>7</v>
      </c>
      <c r="C98" t="s">
        <v>26</v>
      </c>
      <c r="D98" t="s">
        <v>50</v>
      </c>
      <c r="E98">
        <v>694922.97030000004</v>
      </c>
    </row>
    <row r="99" spans="1:5" x14ac:dyDescent="0.3">
      <c r="A99" t="s">
        <v>25</v>
      </c>
      <c r="B99" t="s">
        <v>9</v>
      </c>
      <c r="C99" t="s">
        <v>63</v>
      </c>
      <c r="D99" t="s">
        <v>45</v>
      </c>
      <c r="E99">
        <v>10218576.919199999</v>
      </c>
    </row>
    <row r="100" spans="1:5" x14ac:dyDescent="0.3">
      <c r="A100" t="s">
        <v>25</v>
      </c>
      <c r="B100" t="s">
        <v>9</v>
      </c>
      <c r="C100" t="s">
        <v>26</v>
      </c>
      <c r="D100" t="s">
        <v>43</v>
      </c>
      <c r="E100">
        <v>9444565.2440000009</v>
      </c>
    </row>
    <row r="101" spans="1:5" x14ac:dyDescent="0.3">
      <c r="A101" t="s">
        <v>25</v>
      </c>
      <c r="B101" t="s">
        <v>9</v>
      </c>
      <c r="C101" t="s">
        <v>26</v>
      </c>
      <c r="D101" t="s">
        <v>44</v>
      </c>
      <c r="E101">
        <v>6302915.7034999998</v>
      </c>
    </row>
    <row r="102" spans="1:5" x14ac:dyDescent="0.3">
      <c r="A102" t="s">
        <v>25</v>
      </c>
      <c r="B102" t="s">
        <v>9</v>
      </c>
      <c r="C102" t="s">
        <v>64</v>
      </c>
      <c r="D102" t="s">
        <v>46</v>
      </c>
      <c r="E102">
        <v>4521644.7747</v>
      </c>
    </row>
    <row r="103" spans="1:5" x14ac:dyDescent="0.3">
      <c r="A103" t="s">
        <v>25</v>
      </c>
      <c r="B103" t="s">
        <v>9</v>
      </c>
      <c r="C103" t="s">
        <v>27</v>
      </c>
      <c r="D103" t="s">
        <v>49</v>
      </c>
      <c r="E103">
        <v>2758846.7434999999</v>
      </c>
    </row>
    <row r="104" spans="1:5" x14ac:dyDescent="0.3">
      <c r="A104" t="s">
        <v>25</v>
      </c>
      <c r="B104" t="s">
        <v>9</v>
      </c>
      <c r="C104" t="s">
        <v>65</v>
      </c>
      <c r="D104" t="s">
        <v>48</v>
      </c>
      <c r="E104">
        <v>1569480.8044</v>
      </c>
    </row>
    <row r="105" spans="1:5" x14ac:dyDescent="0.3">
      <c r="A105" t="s">
        <v>25</v>
      </c>
      <c r="B105" t="s">
        <v>9</v>
      </c>
      <c r="C105" t="s">
        <v>26</v>
      </c>
      <c r="D105" t="s">
        <v>47</v>
      </c>
      <c r="E105">
        <v>1509972.4545</v>
      </c>
    </row>
    <row r="106" spans="1:5" x14ac:dyDescent="0.3">
      <c r="A106" t="s">
        <v>25</v>
      </c>
      <c r="B106" t="s">
        <v>9</v>
      </c>
      <c r="C106" t="s">
        <v>83</v>
      </c>
      <c r="D106" t="s">
        <v>50</v>
      </c>
      <c r="E106">
        <v>556899.13410000002</v>
      </c>
    </row>
    <row r="107" spans="1:5" x14ac:dyDescent="0.3">
      <c r="A107" t="s">
        <v>25</v>
      </c>
      <c r="B107" t="s">
        <v>9</v>
      </c>
      <c r="C107" t="s">
        <v>26</v>
      </c>
      <c r="D107" t="s">
        <v>51</v>
      </c>
      <c r="E107">
        <v>148881.80900000001</v>
      </c>
    </row>
    <row r="108" spans="1:5" x14ac:dyDescent="0.3">
      <c r="A108" t="s">
        <v>25</v>
      </c>
      <c r="B108" t="s">
        <v>10</v>
      </c>
      <c r="C108" t="s">
        <v>84</v>
      </c>
      <c r="D108" t="s">
        <v>43</v>
      </c>
      <c r="E108">
        <v>1221358.4421000001</v>
      </c>
    </row>
    <row r="109" spans="1:5" x14ac:dyDescent="0.3">
      <c r="A109" t="s">
        <v>25</v>
      </c>
      <c r="B109" t="s">
        <v>10</v>
      </c>
      <c r="C109" t="s">
        <v>28</v>
      </c>
      <c r="D109" t="s">
        <v>45</v>
      </c>
      <c r="E109">
        <v>641757.41930000007</v>
      </c>
    </row>
    <row r="110" spans="1:5" x14ac:dyDescent="0.3">
      <c r="A110" t="s">
        <v>25</v>
      </c>
      <c r="B110" t="s">
        <v>10</v>
      </c>
      <c r="C110" t="s">
        <v>85</v>
      </c>
      <c r="D110" t="s">
        <v>47</v>
      </c>
      <c r="E110">
        <v>10364.2904</v>
      </c>
    </row>
    <row r="111" spans="1:5" x14ac:dyDescent="0.3">
      <c r="A111" t="s">
        <v>25</v>
      </c>
      <c r="B111" t="s">
        <v>10</v>
      </c>
      <c r="C111" t="s">
        <v>63</v>
      </c>
      <c r="D111" t="s">
        <v>48</v>
      </c>
      <c r="E111">
        <v>5240.4639999999999</v>
      </c>
    </row>
    <row r="112" spans="1:5" x14ac:dyDescent="0.3">
      <c r="A112" t="s">
        <v>25</v>
      </c>
      <c r="B112" t="s">
        <v>10</v>
      </c>
      <c r="C112" t="s">
        <v>85</v>
      </c>
      <c r="D112" t="s">
        <v>49</v>
      </c>
      <c r="E112">
        <v>4088.8285000000001</v>
      </c>
    </row>
    <row r="113" spans="1:5" x14ac:dyDescent="0.3">
      <c r="A113" t="s">
        <v>25</v>
      </c>
      <c r="B113" t="s">
        <v>12</v>
      </c>
      <c r="C113" t="s">
        <v>28</v>
      </c>
      <c r="D113" t="s">
        <v>44</v>
      </c>
      <c r="E113">
        <v>208438.3413</v>
      </c>
    </row>
    <row r="114" spans="1:5" x14ac:dyDescent="0.3">
      <c r="A114" t="s">
        <v>25</v>
      </c>
      <c r="B114" t="s">
        <v>12</v>
      </c>
      <c r="C114" t="s">
        <v>86</v>
      </c>
      <c r="D114" t="s">
        <v>47</v>
      </c>
      <c r="E114">
        <v>116183.9454</v>
      </c>
    </row>
    <row r="115" spans="1:5" x14ac:dyDescent="0.3">
      <c r="A115" t="s">
        <v>25</v>
      </c>
      <c r="B115" t="s">
        <v>12</v>
      </c>
      <c r="C115" t="s">
        <v>26</v>
      </c>
      <c r="D115" t="s">
        <v>43</v>
      </c>
      <c r="E115">
        <v>0</v>
      </c>
    </row>
    <row r="116" spans="1:5" x14ac:dyDescent="0.3">
      <c r="A116" t="s">
        <v>25</v>
      </c>
      <c r="B116" t="s">
        <v>13</v>
      </c>
      <c r="C116" t="s">
        <v>26</v>
      </c>
      <c r="D116" t="s">
        <v>45</v>
      </c>
      <c r="E116">
        <v>1035852.4627</v>
      </c>
    </row>
  </sheetData>
  <pageMargins left="0.75" right="0.75" top="1" bottom="1" header="0.5" footer="0.5"/>
  <headerFooter>
    <oddHeader>&amp;R&amp;"Aptos"&amp;10&amp;K000000 Business Use&amp;1#_x000D_</oddHeader>
  </headerFooter>
  <customProperties>
    <customPr name="Ibp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focus_summary</vt:lpstr>
      <vt:lpstr>rccp_month_location</vt:lpstr>
      <vt:lpstr>rccp_pivot</vt:lpstr>
      <vt:lpstr>rccp_cat_pivot</vt:lpstr>
      <vt:lpstr>cfr_month_location</vt:lpstr>
      <vt:lpstr>cfr_pivot</vt:lpstr>
      <vt:lpstr>dfc_peakday_month_loc</vt:lpstr>
      <vt:lpstr>dfc_pivot</vt:lpstr>
      <vt:lpstr>rccp_month_category_en</vt:lpstr>
      <vt:lpstr>rccp_month_loc_cat_en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2026-05-28T05:39:55Z</dcterms:created>
  <dcterms:modified xsi:type="dcterms:W3CDTF">2026-05-28T10:11:05Z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2026-05-28T05:41:01Z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0fd164d7-9a73-41e4-9d33-e0172c2f9b3c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