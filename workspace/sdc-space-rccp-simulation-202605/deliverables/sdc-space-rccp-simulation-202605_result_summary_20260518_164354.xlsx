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workspace/sdc-space-rccp-simulation-202605/deliverables/"/>
    </mc:Choice>
  </mc:AlternateContent>
  <xr:revisionPtr revIDLastSave="40" documentId="13_ncr:1_{AEB25CB3-DFD7-41D1-9381-D4274EA3D4B3}" xr6:coauthVersionLast="47" xr6:coauthVersionMax="47" xr10:uidLastSave="{2872C150-EFB2-4106-9CF7-3F6D6E4ED8C3}"/>
  <bookViews>
    <workbookView xWindow="-108" yWindow="-108" windowWidth="23256" windowHeight="13896" activeTab="4" xr2:uid="{00000000-000D-0000-FFFF-FFFF00000000}"/>
  </bookViews>
  <sheets>
    <sheet name="metadata" sheetId="1" r:id="rId1"/>
    <sheet name="service_month_location" sheetId="2" r:id="rId2"/>
    <sheet name="rccp_month" sheetId="3" r:id="rId3"/>
    <sheet name="rccp_month_location" sheetId="4" r:id="rId4"/>
    <sheet name="Sheet1" sheetId="10" r:id="rId5"/>
    <sheet name="rccp_month_location_category_en" sheetId="5" r:id="rId6"/>
    <sheet name="category_mapping_coverage" sheetId="6" r:id="rId7"/>
    <sheet name="lane_leadtime" sheetId="7" r:id="rId8"/>
    <sheet name="leadtime_summary" sheetId="8" r:id="rId9"/>
    <sheet name="conversion_coverage" sheetId="9" r:id="rId10"/>
  </sheets>
  <definedNames>
    <definedName name="_xlnm._FilterDatabase" localSheetId="3" hidden="1">rccp_month_location!$A$1:$D$73</definedName>
    <definedName name="_xlnm._FilterDatabase" localSheetId="5" hidden="1">rccp_month_location_category_en!$A$1:$F$643</definedName>
    <definedName name="_xlnm._FilterDatabase" localSheetId="1" hidden="1">service_month_location!$A$1:$E$86</definedName>
    <definedName name="_xlnm._FilterDatabase" localSheetId="4" hidden="1">Sheet1!$A$58:$AG$148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1" i="10" l="1"/>
  <c r="AD23" i="10" s="1"/>
  <c r="AE21" i="10"/>
  <c r="AE23" i="10" s="1"/>
  <c r="AA21" i="10"/>
  <c r="AB18" i="10"/>
  <c r="AB21" i="10" s="1"/>
  <c r="AB23" i="10" s="1"/>
  <c r="AC18" i="10"/>
  <c r="AC21" i="10" s="1"/>
  <c r="AC23" i="10" s="1"/>
  <c r="AD18" i="10"/>
  <c r="AE18" i="10"/>
  <c r="AF18" i="10"/>
  <c r="AG18" i="10"/>
  <c r="AH18" i="10"/>
  <c r="AI18" i="10"/>
  <c r="AJ18" i="10"/>
  <c r="AK18" i="10"/>
  <c r="AA18" i="10"/>
  <c r="AB17" i="10"/>
  <c r="AC17" i="10"/>
  <c r="AC22" i="10" s="1"/>
  <c r="AD17" i="10"/>
  <c r="AD22" i="10" s="1"/>
  <c r="AE17" i="10"/>
  <c r="AE22" i="10" s="1"/>
  <c r="AA19" i="10"/>
  <c r="AA17" i="10"/>
  <c r="AA22" i="10" s="1"/>
  <c r="AB19" i="10"/>
  <c r="AC19" i="10"/>
  <c r="AD19" i="10"/>
  <c r="AE19" i="10"/>
  <c r="AF19" i="10"/>
  <c r="AG19" i="10"/>
  <c r="AH19" i="10"/>
  <c r="AI19" i="10"/>
  <c r="AJ19" i="10"/>
  <c r="AK19" i="10"/>
  <c r="AF17" i="10"/>
  <c r="AF22" i="10" s="1"/>
  <c r="AG17" i="10"/>
  <c r="AG22" i="10" s="1"/>
  <c r="AH17" i="10"/>
  <c r="AH22" i="10" s="1"/>
  <c r="AI17" i="10"/>
  <c r="AI22" i="10" s="1"/>
  <c r="AJ17" i="10"/>
  <c r="AJ22" i="10" s="1"/>
  <c r="AK17" i="10"/>
  <c r="AK22" i="10" s="1"/>
  <c r="AN24" i="10" l="1"/>
  <c r="AB22" i="10"/>
  <c r="AA23" i="10"/>
  <c r="AB32" i="10"/>
  <c r="AB33" i="10" s="1"/>
  <c r="AC32" i="10"/>
  <c r="AC33" i="10" s="1"/>
  <c r="AD32" i="10"/>
  <c r="AD33" i="10" s="1"/>
  <c r="AE32" i="10"/>
  <c r="AE33" i="10" s="1"/>
  <c r="AF32" i="10"/>
  <c r="AF33" i="10" s="1"/>
  <c r="AG32" i="10"/>
  <c r="AG33" i="10" s="1"/>
  <c r="AH32" i="10"/>
  <c r="AH33" i="10" s="1"/>
  <c r="AI32" i="10"/>
  <c r="AI33" i="10" s="1"/>
  <c r="AJ32" i="10"/>
  <c r="AJ33" i="10" s="1"/>
  <c r="AK32" i="10"/>
  <c r="AK33" i="10" s="1"/>
  <c r="AA32" i="10"/>
  <c r="AA33" i="10" s="1"/>
  <c r="AK26" i="10"/>
  <c r="AK27" i="10" s="1"/>
  <c r="AK30" i="10" s="1"/>
  <c r="AJ26" i="10"/>
  <c r="AJ27" i="10" s="1"/>
  <c r="AJ30" i="10" s="1"/>
  <c r="AB26" i="10" l="1"/>
  <c r="AB27" i="10" s="1"/>
  <c r="AB30" i="10" s="1"/>
  <c r="AC26" i="10"/>
  <c r="AC27" i="10" s="1"/>
  <c r="AC30" i="10" s="1"/>
  <c r="AD26" i="10"/>
  <c r="AD27" i="10" s="1"/>
  <c r="AD30" i="10" s="1"/>
  <c r="AE26" i="10"/>
  <c r="AE27" i="10" s="1"/>
  <c r="AE30" i="10" s="1"/>
  <c r="AA26" i="10"/>
  <c r="AA27" i="10" s="1"/>
  <c r="AA30" i="10" s="1"/>
  <c r="C31" i="10"/>
  <c r="D31" i="10"/>
  <c r="E31" i="10"/>
  <c r="F31" i="10"/>
  <c r="G31" i="10"/>
  <c r="H31" i="10"/>
  <c r="I31" i="10"/>
  <c r="J31" i="10"/>
  <c r="K31" i="10"/>
  <c r="L31" i="10"/>
  <c r="M31" i="10"/>
  <c r="B31" i="10"/>
  <c r="C32" i="10"/>
  <c r="C35" i="10" s="1"/>
  <c r="D32" i="10"/>
  <c r="D35" i="10" s="1"/>
  <c r="E32" i="10"/>
  <c r="E35" i="10" s="1"/>
  <c r="F32" i="10"/>
  <c r="F35" i="10" s="1"/>
  <c r="G32" i="10"/>
  <c r="G35" i="10" s="1"/>
  <c r="H32" i="10"/>
  <c r="H35" i="10" s="1"/>
  <c r="I32" i="10"/>
  <c r="I35" i="10" s="1"/>
  <c r="J32" i="10"/>
  <c r="J35" i="10" s="1"/>
  <c r="K32" i="10"/>
  <c r="K35" i="10" s="1"/>
  <c r="L32" i="10"/>
  <c r="L35" i="10" s="1"/>
  <c r="M32" i="10"/>
  <c r="M35" i="10" s="1"/>
  <c r="B32" i="10"/>
  <c r="B35" i="10" s="1"/>
  <c r="N15" i="10"/>
  <c r="E51" i="4"/>
  <c r="E52" i="4"/>
  <c r="E53" i="4"/>
  <c r="E54" i="4"/>
  <c r="E55" i="4"/>
  <c r="E56" i="4"/>
  <c r="E57" i="4"/>
  <c r="E58" i="4"/>
  <c r="E59" i="4"/>
  <c r="E60" i="4"/>
  <c r="E61" i="4"/>
  <c r="E50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2" i="5"/>
  <c r="M34" i="10"/>
  <c r="D34" i="10"/>
  <c r="L34" i="10"/>
  <c r="C34" i="10"/>
  <c r="E34" i="10"/>
  <c r="H34" i="10"/>
  <c r="F34" i="10"/>
  <c r="K34" i="10"/>
  <c r="J34" i="10"/>
  <c r="B34" i="10"/>
  <c r="I34" i="10"/>
  <c r="G34" i="10"/>
  <c r="AF26" i="10" l="1"/>
  <c r="AF27" i="10" s="1"/>
  <c r="AF30" i="10" s="1"/>
  <c r="AI26" i="10"/>
  <c r="AI27" i="10" s="1"/>
  <c r="AI30" i="10" s="1"/>
  <c r="AH26" i="10"/>
  <c r="AH27" i="10" s="1"/>
  <c r="AH30" i="10" s="1"/>
  <c r="AG26" i="10"/>
  <c r="AG27" i="10" s="1"/>
  <c r="AG30" i="10" s="1"/>
</calcChain>
</file>

<file path=xl/sharedStrings.xml><?xml version="1.0" encoding="utf-8"?>
<sst xmlns="http://schemas.openxmlformats.org/spreadsheetml/2006/main" count="2780" uniqueCount="239">
  <si>
    <t>field</t>
  </si>
  <si>
    <t>value</t>
  </si>
  <si>
    <t>project</t>
  </si>
  <si>
    <t>sdc-space-rccp-simulation-202605</t>
  </si>
  <si>
    <t>scenario</t>
  </si>
  <si>
    <t>baseline-current-params-should-be-rccp-otd</t>
  </si>
  <si>
    <t>run_id</t>
  </si>
  <si>
    <t>db_baseline-current-params-should-be-rccp-otd_20260515_195204</t>
  </si>
  <si>
    <t>config_name</t>
  </si>
  <si>
    <t>inventory_start_date</t>
  </si>
  <si>
    <t>inventory_end_date</t>
  </si>
  <si>
    <t>delivery_start_date</t>
  </si>
  <si>
    <t>delivery_end_date</t>
  </si>
  <si>
    <t>generated_at</t>
  </si>
  <si>
    <t>2026-05-18T16:44:00</t>
  </si>
  <si>
    <t>month</t>
  </si>
  <si>
    <t>receiving</t>
  </si>
  <si>
    <t>shipment_qty</t>
  </si>
  <si>
    <t>order_qty</t>
  </si>
  <si>
    <t>2026-06</t>
  </si>
  <si>
    <t>C819</t>
  </si>
  <si>
    <t>C937</t>
  </si>
  <si>
    <t>D767</t>
  </si>
  <si>
    <t>E556-QD</t>
  </si>
  <si>
    <t>E556-ZZ</t>
  </si>
  <si>
    <t>E560</t>
  </si>
  <si>
    <t>E564-FZ</t>
  </si>
  <si>
    <t>E564-NC</t>
  </si>
  <si>
    <t>E568</t>
  </si>
  <si>
    <t>E569-CQ</t>
  </si>
  <si>
    <t>E569-GY</t>
  </si>
  <si>
    <t>E569-KM</t>
  </si>
  <si>
    <t>2026-07</t>
  </si>
  <si>
    <t>2026-08</t>
  </si>
  <si>
    <t>2026-09</t>
  </si>
  <si>
    <t>2026-10</t>
  </si>
  <si>
    <t>2026-11</t>
  </si>
  <si>
    <t>2026-12</t>
  </si>
  <si>
    <t>2027-01</t>
  </si>
  <si>
    <t>peak_date</t>
  </si>
  <si>
    <t>peak_cbm</t>
  </si>
  <si>
    <t>location</t>
  </si>
  <si>
    <t>category_en</t>
  </si>
  <si>
    <t>PCC</t>
  </si>
  <si>
    <t>Fabric</t>
  </si>
  <si>
    <t>Hair</t>
  </si>
  <si>
    <t>Baby</t>
  </si>
  <si>
    <t>Fem</t>
  </si>
  <si>
    <t>Shave</t>
  </si>
  <si>
    <t>Oral</t>
  </si>
  <si>
    <t>Skin</t>
  </si>
  <si>
    <t>Home</t>
  </si>
  <si>
    <t>metric</t>
  </si>
  <si>
    <t>mapping_file_available</t>
  </si>
  <si>
    <t>yes</t>
  </si>
  <si>
    <t>mapping_file</t>
  </si>
  <si>
    <t>\\wsl.localhost\Ubuntu-22.04\home\zhangs37\ai_chainsight\workspace\sdc-space-rccp-simulation-202605\data\ps_psc_sku_master_category_en.csv</t>
  </si>
  <si>
    <t>daily_material_rows</t>
  </si>
  <si>
    <t>unique_materials</t>
  </si>
  <si>
    <t>mapped_unique_materials</t>
  </si>
  <si>
    <t>unmapped_unique_materials</t>
  </si>
  <si>
    <t>mapped_unique_material_ratio</t>
  </si>
  <si>
    <t>sending</t>
  </si>
  <si>
    <t>deployment_count</t>
  </si>
  <si>
    <t>total_qty</t>
  </si>
  <si>
    <t>mean_wait_moq_days</t>
  </si>
  <si>
    <t>median_wait_moq_days</t>
  </si>
  <si>
    <t>p90_wait_moq_days</t>
  </si>
  <si>
    <t>mean_otd_days</t>
  </si>
  <si>
    <t>median_otd_days</t>
  </si>
  <si>
    <t>p90_otd_days</t>
  </si>
  <si>
    <t>mean_total_days</t>
  </si>
  <si>
    <t>median_total_days</t>
  </si>
  <si>
    <t>p90_total_days</t>
  </si>
  <si>
    <t>cfg_pdt_days</t>
  </si>
  <si>
    <t>cfg_gr_days</t>
  </si>
  <si>
    <t>cfg_mct_days</t>
  </si>
  <si>
    <t>cfg_otd_days</t>
  </si>
  <si>
    <t>cfg_total_days</t>
  </si>
  <si>
    <t>mean_gap_vs_cfg_days</t>
  </si>
  <si>
    <t>C816</t>
  </si>
  <si>
    <t>C810</t>
  </si>
  <si>
    <t>5730</t>
  </si>
  <si>
    <t>A673</t>
  </si>
  <si>
    <t>A672</t>
  </si>
  <si>
    <t>5204</t>
  </si>
  <si>
    <t>C339</t>
  </si>
  <si>
    <t>E499</t>
  </si>
  <si>
    <t>D235</t>
  </si>
  <si>
    <t>deployment_events</t>
  </si>
  <si>
    <t>inventory_materials</t>
  </si>
  <si>
    <t>materials_with_volume</t>
  </si>
  <si>
    <t>zero_or_missing_volume_materials</t>
  </si>
  <si>
    <t>qty_with_volume_ratio</t>
  </si>
  <si>
    <t>CBM</t>
  </si>
  <si>
    <t>济南</t>
  </si>
  <si>
    <t>长沙</t>
  </si>
  <si>
    <t>南宁</t>
  </si>
  <si>
    <t>青岛</t>
  </si>
  <si>
    <t>郑州</t>
  </si>
  <si>
    <t>哈尔滨</t>
  </si>
  <si>
    <t>福州</t>
  </si>
  <si>
    <t>南昌</t>
  </si>
  <si>
    <t>新疆</t>
  </si>
  <si>
    <t>重庆</t>
  </si>
  <si>
    <t>贵阳</t>
  </si>
  <si>
    <t>昆明</t>
  </si>
  <si>
    <t>Location</t>
  </si>
  <si>
    <t>Category</t>
  </si>
  <si>
    <t>Month Peak</t>
  </si>
  <si>
    <t>BU Total</t>
  </si>
  <si>
    <t>MO Total</t>
  </si>
  <si>
    <t>乌鲁木齐</t>
  </si>
  <si>
    <t>柳州</t>
  </si>
  <si>
    <t>湖州</t>
  </si>
  <si>
    <t>玉林</t>
  </si>
  <si>
    <t>DOH</t>
  </si>
  <si>
    <t>(days)</t>
  </si>
  <si>
    <t>(-8)</t>
  </si>
  <si>
    <t>(-4.9)</t>
  </si>
  <si>
    <t>(-3.3)</t>
  </si>
  <si>
    <t>(-3.2)</t>
  </si>
  <si>
    <t>(-1.6)</t>
  </si>
  <si>
    <t>(-4.6)</t>
  </si>
  <si>
    <t>(-1.5)</t>
  </si>
  <si>
    <t>(-3.7)</t>
  </si>
  <si>
    <t>(-4.2)</t>
  </si>
  <si>
    <t>(-1.1)</t>
  </si>
  <si>
    <t>(-3.9)</t>
  </si>
  <si>
    <t>（-2.9）</t>
  </si>
  <si>
    <t>SDC Target</t>
  </si>
  <si>
    <t>MO DFC Simulated</t>
  </si>
  <si>
    <t>XQDC</t>
  </si>
  <si>
    <t>XQ Plant</t>
  </si>
  <si>
    <t>TCDC</t>
  </si>
  <si>
    <t>SYDC</t>
  </si>
  <si>
    <t>XADC</t>
  </si>
  <si>
    <t>WHDC</t>
  </si>
  <si>
    <t>CDDC</t>
  </si>
  <si>
    <t>HPDC</t>
  </si>
  <si>
    <t>LGDC</t>
  </si>
  <si>
    <t>South export</t>
  </si>
  <si>
    <t>NN SDC</t>
  </si>
  <si>
    <t>JN SDC</t>
  </si>
  <si>
    <t>South total</t>
  </si>
  <si>
    <t>QD SDC</t>
  </si>
  <si>
    <t>CS SDC</t>
  </si>
  <si>
    <t>XJ SDC</t>
  </si>
  <si>
    <t>GY SDC</t>
  </si>
  <si>
    <t>NC SDC</t>
  </si>
  <si>
    <t>FZ SDC</t>
  </si>
  <si>
    <t>Haerbin SDC</t>
  </si>
  <si>
    <t>CQ SDC</t>
  </si>
  <si>
    <t>KM SDC</t>
  </si>
  <si>
    <t>ZZ SDC</t>
  </si>
  <si>
    <t>TMFS Olay DTC East</t>
  </si>
  <si>
    <t>TMFS Olay DTC North</t>
  </si>
  <si>
    <t>TMFS Olay DTC South</t>
  </si>
  <si>
    <t>TMFS Olay DTC West</t>
  </si>
  <si>
    <t>POSM/FG TJ Roof</t>
  </si>
  <si>
    <t>POSM/FG TC Roof</t>
  </si>
  <si>
    <t>Column</t>
  </si>
  <si>
    <t>D352(HABC)</t>
  </si>
  <si>
    <t>D352(PAPER)</t>
  </si>
  <si>
    <t>A715</t>
  </si>
  <si>
    <t>A716</t>
  </si>
  <si>
    <t>A668</t>
  </si>
  <si>
    <t>A680</t>
  </si>
  <si>
    <t>0386（火）</t>
  </si>
  <si>
    <t>E904+E332</t>
  </si>
  <si>
    <t>E351+E354</t>
  </si>
  <si>
    <t>E355+E361</t>
  </si>
  <si>
    <t>E359+E353</t>
  </si>
  <si>
    <t>A672(POSM)</t>
  </si>
  <si>
    <t>A673(POSM)</t>
  </si>
  <si>
    <t>1 Actual Total</t>
  </si>
  <si>
    <t>Actual Total</t>
  </si>
  <si>
    <t>2 Intransit short haul total</t>
  </si>
  <si>
    <t>intersite &lt;= EOD Arrival</t>
  </si>
  <si>
    <t>3 Intransit Long Haul Total</t>
  </si>
  <si>
    <t>intersite &gt; EOD Arrival</t>
  </si>
  <si>
    <t>4 Non GI EOD FCST total</t>
  </si>
  <si>
    <t>Non GI EOD FCST total</t>
  </si>
  <si>
    <t>5 Actual&amp;ITSH-NonGI</t>
  </si>
  <si>
    <t>Actual&amp;ITSH-NonGI</t>
  </si>
  <si>
    <t>6 Utilization Rate</t>
  </si>
  <si>
    <t>UR</t>
  </si>
  <si>
    <t>7 Utilization Rate EOD FCST</t>
  </si>
  <si>
    <t>UR EOD FCST</t>
  </si>
  <si>
    <t>8 GI rate</t>
  </si>
  <si>
    <t>AfterMOBB</t>
  </si>
  <si>
    <t>Booking month pk</t>
  </si>
  <si>
    <t>Appliances</t>
  </si>
  <si>
    <t>01 IPP</t>
  </si>
  <si>
    <t>02 IPP EOD FCST</t>
  </si>
  <si>
    <t>Actual CBM</t>
  </si>
  <si>
    <t>Intransit Long haul</t>
  </si>
  <si>
    <t>Intransit short haul</t>
  </si>
  <si>
    <t>Non GI EOD FCST CBM</t>
  </si>
  <si>
    <t>Feminine</t>
  </si>
  <si>
    <t>SK-II</t>
  </si>
  <si>
    <t>Flammable</t>
  </si>
  <si>
    <t>Actual CS</t>
  </si>
  <si>
    <t>Booking month pk(CS)</t>
  </si>
  <si>
    <t>Intransit Long haul(CS)</t>
  </si>
  <si>
    <t>Intransit short haul(CS)</t>
  </si>
  <si>
    <t>Non GI EOD FCST CS</t>
  </si>
  <si>
    <t>DSTC包材&amp;逆向仓&amp;操作区</t>
  </si>
  <si>
    <t>DC</t>
  </si>
  <si>
    <t>Site Code</t>
  </si>
  <si>
    <t>LPA</t>
  </si>
  <si>
    <t>E556</t>
  </si>
  <si>
    <t>E569</t>
  </si>
  <si>
    <t>E564</t>
  </si>
  <si>
    <t>Current DFC</t>
  </si>
  <si>
    <t>Current UPI%</t>
  </si>
  <si>
    <t>LPA CBM</t>
  </si>
  <si>
    <t>LPA DFC</t>
  </si>
  <si>
    <t>Current CBM</t>
  </si>
  <si>
    <t>incremental DFC to LPA CBM</t>
  </si>
  <si>
    <t>max - Main DC DFC</t>
  </si>
  <si>
    <t>转单率</t>
  </si>
  <si>
    <t>Min DFC</t>
  </si>
  <si>
    <t>South actual DFC</t>
  </si>
  <si>
    <t>min(LPA, actual)</t>
  </si>
  <si>
    <t>Max Space</t>
  </si>
  <si>
    <t>Current Actual MOQ</t>
  </si>
  <si>
    <t>Opportunity</t>
  </si>
  <si>
    <t>Actual peak</t>
  </si>
  <si>
    <t>LPA Space CBM</t>
  </si>
  <si>
    <t>Min vs LPA</t>
  </si>
  <si>
    <t>Min vs Current MOQ</t>
  </si>
  <si>
    <t>DFC versio opportunity</t>
  </si>
  <si>
    <t>CBM version</t>
  </si>
  <si>
    <t>CBM toward LPA DFC</t>
  </si>
  <si>
    <t>Minimal CBM</t>
  </si>
  <si>
    <t>max opportunity (max actual MOQ/LPA DFC)</t>
  </si>
  <si>
    <t>Current progress%</t>
  </si>
  <si>
    <t>max(MOQ, LPA)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</si>
</sst>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7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9"/>
      <color rgb="FF242424"/>
      <name val="Segoe UI"/>
      <family val="2"/>
    </font>
    <font>
      <sz val="11"/>
      <color rgb="FF000000"/>
      <name val="Times New Roman"/>
      <family val="1"/>
    </font>
    <font>
      <sz val="18"/>
      <name val="Aptos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tops"/>
    </font>
    <font>
      <b/>
      <sz val="12"/>
      <color theme="1"/>
      <name val="Aptos"/>
      <family val="2"/>
    </font>
    <font>
      <sz val="12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2" borderId="0" xfId="0" applyFill="1"/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right" vertical="center" wrapText="1"/>
    </xf>
    <xf numFmtId="10" fontId="7" fillId="2" borderId="4" xfId="0" applyNumberFormat="1" applyFont="1" applyFill="1" applyBorder="1" applyAlignment="1">
      <alignment horizontal="right" vertical="center" wrapText="1"/>
    </xf>
    <xf numFmtId="10" fontId="7" fillId="3" borderId="4" xfId="0" applyNumberFormat="1" applyFont="1" applyFill="1" applyBorder="1" applyAlignment="1">
      <alignment horizontal="right" vertical="center" wrapText="1"/>
    </xf>
    <xf numFmtId="10" fontId="7" fillId="4" borderId="4" xfId="0" applyNumberFormat="1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wrapText="1"/>
    </xf>
    <xf numFmtId="9" fontId="7" fillId="2" borderId="4" xfId="0" applyNumberFormat="1" applyFont="1" applyFill="1" applyBorder="1" applyAlignment="1">
      <alignment horizontal="right" vertical="center" wrapText="1"/>
    </xf>
    <xf numFmtId="10" fontId="7" fillId="5" borderId="4" xfId="0" applyNumberFormat="1" applyFont="1" applyFill="1" applyBorder="1" applyAlignment="1">
      <alignment horizontal="right" vertical="center" wrapText="1"/>
    </xf>
    <xf numFmtId="9" fontId="7" fillId="5" borderId="4" xfId="0" applyNumberFormat="1" applyFont="1" applyFill="1" applyBorder="1" applyAlignment="1">
      <alignment horizontal="right" vertical="center" wrapText="1"/>
    </xf>
    <xf numFmtId="9" fontId="7" fillId="4" borderId="4" xfId="0" applyNumberFormat="1" applyFont="1" applyFill="1" applyBorder="1" applyAlignment="1">
      <alignment horizontal="right" vertical="center" wrapText="1"/>
    </xf>
    <xf numFmtId="9" fontId="7" fillId="3" borderId="4" xfId="0" applyNumberFormat="1" applyFont="1" applyFill="1" applyBorder="1" applyAlignment="1">
      <alignment horizontal="right" vertical="center" wrapText="1"/>
    </xf>
    <xf numFmtId="1" fontId="0" fillId="5" borderId="0" xfId="0" applyNumberFormat="1" applyFill="1"/>
    <xf numFmtId="9" fontId="0" fillId="0" borderId="0" xfId="1" applyFont="1"/>
    <xf numFmtId="0" fontId="0" fillId="6" borderId="0" xfId="0" applyFill="1" applyAlignment="1">
      <alignment horizontal="left"/>
    </xf>
    <xf numFmtId="1" fontId="3" fillId="6" borderId="0" xfId="0" applyNumberFormat="1" applyFont="1" applyFill="1"/>
    <xf numFmtId="1" fontId="0" fillId="6" borderId="0" xfId="0" applyNumberFormat="1" applyFill="1"/>
    <xf numFmtId="0" fontId="0" fillId="7" borderId="0" xfId="0" applyFill="1" applyAlignment="1">
      <alignment horizontal="left"/>
    </xf>
    <xf numFmtId="1" fontId="0" fillId="7" borderId="0" xfId="0" applyNumberFormat="1" applyFill="1"/>
    <xf numFmtId="0" fontId="0" fillId="8" borderId="0" xfId="0" applyFill="1" applyAlignment="1">
      <alignment horizontal="left"/>
    </xf>
    <xf numFmtId="0" fontId="0" fillId="8" borderId="0" xfId="0" applyFill="1" applyAlignment="1">
      <alignment vertical="center" wrapText="1"/>
    </xf>
    <xf numFmtId="0" fontId="0" fillId="8" borderId="0" xfId="0" applyFill="1"/>
    <xf numFmtId="165" fontId="0" fillId="7" borderId="0" xfId="0" applyNumberFormat="1" applyFill="1"/>
    <xf numFmtId="0" fontId="3" fillId="7" borderId="0" xfId="0" applyFont="1" applyFill="1" applyAlignment="1">
      <alignment horizontal="left"/>
    </xf>
    <xf numFmtId="1" fontId="3" fillId="7" borderId="0" xfId="0" applyNumberFormat="1" applyFont="1" applyFill="1"/>
    <xf numFmtId="0" fontId="3" fillId="8" borderId="0" xfId="0" applyFont="1" applyFill="1"/>
    <xf numFmtId="1" fontId="0" fillId="9" borderId="0" xfId="0" applyNumberFormat="1" applyFill="1"/>
    <xf numFmtId="9" fontId="1" fillId="5" borderId="1" xfId="1" applyFont="1" applyFill="1" applyBorder="1" applyAlignment="1">
      <alignment horizontal="center" vertical="top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 readingOrder="1"/>
    </xf>
    <xf numFmtId="0" fontId="10" fillId="11" borderId="8" xfId="0" applyFont="1" applyFill="1" applyBorder="1" applyAlignment="1">
      <alignment horizontal="center" wrapText="1" readingOrder="1"/>
    </xf>
    <xf numFmtId="0" fontId="9" fillId="0" borderId="9" xfId="0" applyFont="1" applyBorder="1" applyAlignment="1">
      <alignment horizontal="center" wrapText="1" readingOrder="1"/>
    </xf>
    <xf numFmtId="0" fontId="9" fillId="12" borderId="10" xfId="0" applyFont="1" applyFill="1" applyBorder="1" applyAlignment="1">
      <alignment horizontal="center" wrapText="1" readingOrder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11" xfId="0" applyFont="1" applyBorder="1" applyAlignment="1">
      <alignment horizontal="center" vertical="center"/>
    </xf>
    <xf numFmtId="1" fontId="11" fillId="0" borderId="12" xfId="0" applyNumberFormat="1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1" fontId="13" fillId="0" borderId="0" xfId="0" applyNumberFormat="1" applyFont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0" fontId="3" fillId="10" borderId="7" xfId="0" applyFont="1" applyFill="1" applyBorder="1" applyAlignment="1">
      <alignment vertical="center"/>
    </xf>
    <xf numFmtId="0" fontId="9" fillId="12" borderId="0" xfId="0" applyFont="1" applyFill="1" applyAlignment="1">
      <alignment horizontal="center" wrapText="1" readingOrder="1"/>
    </xf>
    <xf numFmtId="1" fontId="9" fillId="12" borderId="0" xfId="0" applyNumberFormat="1" applyFont="1" applyFill="1" applyAlignment="1">
      <alignment horizontal="center" wrapText="1" readingOrder="1"/>
    </xf>
    <xf numFmtId="0" fontId="16" fillId="12" borderId="0" xfId="0" applyFont="1" applyFill="1" applyAlignment="1">
      <alignment horizontal="center" wrapText="1" readingOrder="1"/>
    </xf>
    <xf numFmtId="1" fontId="16" fillId="12" borderId="0" xfId="0" applyNumberFormat="1" applyFont="1" applyFill="1" applyAlignment="1">
      <alignment horizontal="center" wrapText="1" readingOrder="1"/>
    </xf>
    <xf numFmtId="0" fontId="10" fillId="13" borderId="8" xfId="0" applyFont="1" applyFill="1" applyBorder="1" applyAlignment="1">
      <alignment horizontal="center" wrapText="1" readingOrder="1"/>
    </xf>
    <xf numFmtId="0" fontId="10" fillId="14" borderId="11" xfId="0" applyFont="1" applyFill="1" applyBorder="1" applyAlignment="1">
      <alignment horizontal="center" wrapText="1" readingOrder="1"/>
    </xf>
    <xf numFmtId="1" fontId="10" fillId="14" borderId="11" xfId="0" applyNumberFormat="1" applyFont="1" applyFill="1" applyBorder="1" applyAlignment="1">
      <alignment horizontal="center" wrapText="1" readingOrder="1"/>
    </xf>
    <xf numFmtId="0" fontId="9" fillId="14" borderId="10" xfId="0" applyFont="1" applyFill="1" applyBorder="1" applyAlignment="1">
      <alignment horizontal="center" wrapText="1" readingOrder="1"/>
    </xf>
    <xf numFmtId="0" fontId="9" fillId="14" borderId="0" xfId="0" applyFont="1" applyFill="1" applyAlignment="1">
      <alignment horizontal="center" wrapText="1" readingOrder="1"/>
    </xf>
    <xf numFmtId="1" fontId="9" fillId="14" borderId="0" xfId="0" applyNumberFormat="1" applyFont="1" applyFill="1" applyAlignment="1">
      <alignment horizontal="center" wrapText="1" readingOrder="1"/>
    </xf>
    <xf numFmtId="0" fontId="12" fillId="14" borderId="0" xfId="0" applyFont="1" applyFill="1" applyAlignment="1">
      <alignment horizontal="center"/>
    </xf>
    <xf numFmtId="0" fontId="12" fillId="14" borderId="0" xfId="0" applyFont="1" applyFill="1" applyAlignment="1">
      <alignment horizontal="center" wrapText="1"/>
    </xf>
    <xf numFmtId="9" fontId="9" fillId="12" borderId="0" xfId="1" applyFont="1" applyFill="1" applyAlignment="1">
      <alignment horizontal="center" wrapText="1" readingOrder="1"/>
    </xf>
    <xf numFmtId="1" fontId="12" fillId="14" borderId="0" xfId="0" applyNumberFormat="1" applyFont="1" applyFill="1" applyAlignment="1">
      <alignment horizont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7" fillId="2" borderId="6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2">
    <dxf>
      <fill>
        <patternFill patternType="solid">
          <bgColor rgb="FF00B0F0"/>
        </patternFill>
      </fill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Sen" refreshedDate="46160.698776041667" createdVersion="8" refreshedVersion="8" minRefreshableVersion="3" recordCount="643" xr:uid="{C8DB8C11-F74D-4A04-976D-62773F1E9122}">
  <cacheSource type="worksheet">
    <worksheetSource ref="A1:F1048576" sheet="rccp_month_location_category_en"/>
  </cacheSource>
  <cacheFields count="6">
    <cacheField name="month" numFmtId="0">
      <sharedItems containsBlank="1" count="7">
        <s v="2026-06"/>
        <s v="2026-07"/>
        <s v="2026-08"/>
        <s v="2026-09"/>
        <s v="2026-10"/>
        <s v="2026-11"/>
        <m/>
      </sharedItems>
    </cacheField>
    <cacheField name="location" numFmtId="0">
      <sharedItems containsBlank="1" count="13">
        <s v="C819"/>
        <s v="C937"/>
        <s v="D767"/>
        <s v="E556-QD"/>
        <s v="E556-ZZ"/>
        <s v="E560"/>
        <s v="E564-FZ"/>
        <s v="E564-NC"/>
        <s v="E568"/>
        <s v="E569-CQ"/>
        <s v="E569-GY"/>
        <s v="E569-KM"/>
        <m/>
      </sharedItems>
    </cacheField>
    <cacheField name="peak_date" numFmtId="0">
      <sharedItems containsNonDate="0" containsDate="1" containsString="0" containsBlank="1" minDate="2026-06-29T00:00:00" maxDate="2026-11-28T00:00:00"/>
    </cacheField>
    <cacheField name="category_en" numFmtId="0">
      <sharedItems containsBlank="1" count="10">
        <s v="PCC"/>
        <s v="Fabric"/>
        <s v="Hair"/>
        <s v="Baby"/>
        <s v="Fem"/>
        <s v="Shave"/>
        <s v="Oral"/>
        <s v="Skin"/>
        <s v="Home"/>
        <m/>
      </sharedItems>
    </cacheField>
    <cacheField name="peak_cbm" numFmtId="0">
      <sharedItems containsString="0" containsBlank="1" containsNumber="1" minValue="0" maxValue="754730.75"/>
    </cacheField>
    <cacheField name="CBM" numFmtId="0">
      <sharedItems containsString="0" containsBlank="1" containsNumber="1" minValue="0" maxValue="754.7307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">
  <r>
    <x v="0"/>
    <x v="0"/>
    <d v="2026-06-30T00:00:00"/>
    <x v="0"/>
    <n v="327285.65000000002"/>
    <n v="327.28565000000003"/>
  </r>
  <r>
    <x v="0"/>
    <x v="0"/>
    <d v="2026-06-30T00:00:00"/>
    <x v="1"/>
    <n v="220314.02"/>
    <n v="220.31402"/>
  </r>
  <r>
    <x v="0"/>
    <x v="0"/>
    <d v="2026-06-30T00:00:00"/>
    <x v="2"/>
    <n v="192955.94"/>
    <n v="192.95594"/>
  </r>
  <r>
    <x v="0"/>
    <x v="0"/>
    <d v="2026-06-29T00:00:00"/>
    <x v="3"/>
    <n v="160471.88"/>
    <n v="160.47188"/>
  </r>
  <r>
    <x v="0"/>
    <x v="0"/>
    <d v="2026-06-29T00:00:00"/>
    <x v="4"/>
    <n v="59907.81"/>
    <n v="59.907809999999998"/>
  </r>
  <r>
    <x v="0"/>
    <x v="0"/>
    <d v="2026-06-30T00:00:00"/>
    <x v="5"/>
    <n v="30089.23"/>
    <n v="30.089230000000001"/>
  </r>
  <r>
    <x v="0"/>
    <x v="0"/>
    <d v="2026-06-29T00:00:00"/>
    <x v="6"/>
    <n v="20905.07"/>
    <n v="20.905069999999998"/>
  </r>
  <r>
    <x v="0"/>
    <x v="0"/>
    <d v="2026-06-30T00:00:00"/>
    <x v="7"/>
    <n v="2667.14"/>
    <n v="2.6671399999999998"/>
  </r>
  <r>
    <x v="0"/>
    <x v="1"/>
    <d v="2026-06-30T00:00:00"/>
    <x v="0"/>
    <n v="612139.46"/>
    <n v="612.13945999999999"/>
  </r>
  <r>
    <x v="0"/>
    <x v="1"/>
    <d v="2026-06-29T00:00:00"/>
    <x v="3"/>
    <n v="440146.7"/>
    <n v="440.14670000000001"/>
  </r>
  <r>
    <x v="0"/>
    <x v="1"/>
    <d v="2026-06-30T00:00:00"/>
    <x v="2"/>
    <n v="282125.26"/>
    <n v="282.12526000000003"/>
  </r>
  <r>
    <x v="0"/>
    <x v="1"/>
    <d v="2026-06-29T00:00:00"/>
    <x v="4"/>
    <n v="114579"/>
    <n v="114.57899999999999"/>
  </r>
  <r>
    <x v="0"/>
    <x v="1"/>
    <d v="2026-06-30T00:00:00"/>
    <x v="5"/>
    <n v="81718.03"/>
    <n v="81.718029999999999"/>
  </r>
  <r>
    <x v="0"/>
    <x v="1"/>
    <d v="2026-06-29T00:00:00"/>
    <x v="6"/>
    <n v="42889.93"/>
    <n v="42.88993"/>
  </r>
  <r>
    <x v="0"/>
    <x v="1"/>
    <d v="2026-06-30T00:00:00"/>
    <x v="7"/>
    <n v="38426.9"/>
    <n v="38.426900000000003"/>
  </r>
  <r>
    <x v="0"/>
    <x v="1"/>
    <d v="2026-06-29T00:00:00"/>
    <x v="1"/>
    <n v="33734.49"/>
    <n v="33.734490000000001"/>
  </r>
  <r>
    <x v="0"/>
    <x v="1"/>
    <d v="2026-06-29T00:00:00"/>
    <x v="8"/>
    <n v="0"/>
    <n v="0"/>
  </r>
  <r>
    <x v="0"/>
    <x v="2"/>
    <d v="2026-06-29T00:00:00"/>
    <x v="1"/>
    <n v="626886.66"/>
    <n v="626.88666000000001"/>
  </r>
  <r>
    <x v="0"/>
    <x v="2"/>
    <d v="2026-06-29T00:00:00"/>
    <x v="3"/>
    <n v="546640.28"/>
    <n v="546.64028000000008"/>
  </r>
  <r>
    <x v="0"/>
    <x v="2"/>
    <d v="2026-06-30T00:00:00"/>
    <x v="0"/>
    <n v="538635.49"/>
    <n v="538.63549"/>
  </r>
  <r>
    <x v="0"/>
    <x v="2"/>
    <d v="2026-06-30T00:00:00"/>
    <x v="2"/>
    <n v="400728.68"/>
    <n v="400.72868"/>
  </r>
  <r>
    <x v="0"/>
    <x v="2"/>
    <d v="2026-06-29T00:00:00"/>
    <x v="4"/>
    <n v="139092.06"/>
    <n v="139.09206"/>
  </r>
  <r>
    <x v="0"/>
    <x v="2"/>
    <d v="2026-06-29T00:00:00"/>
    <x v="6"/>
    <n v="33427.25"/>
    <n v="33.427250000000001"/>
  </r>
  <r>
    <x v="0"/>
    <x v="2"/>
    <d v="2026-06-29T00:00:00"/>
    <x v="5"/>
    <n v="3347.16"/>
    <n v="3.3471599999999997"/>
  </r>
  <r>
    <x v="0"/>
    <x v="2"/>
    <d v="2026-06-29T00:00:00"/>
    <x v="7"/>
    <n v="566.14"/>
    <n v="0.56613999999999998"/>
  </r>
  <r>
    <x v="0"/>
    <x v="2"/>
    <d v="2026-06-29T00:00:00"/>
    <x v="8"/>
    <n v="0"/>
    <n v="0"/>
  </r>
  <r>
    <x v="0"/>
    <x v="3"/>
    <d v="2026-06-30T00:00:00"/>
    <x v="2"/>
    <n v="139609.82"/>
    <n v="139.60982000000001"/>
  </r>
  <r>
    <x v="0"/>
    <x v="3"/>
    <d v="2026-06-29T00:00:00"/>
    <x v="0"/>
    <n v="101403.82"/>
    <n v="101.40382000000001"/>
  </r>
  <r>
    <x v="0"/>
    <x v="3"/>
    <d v="2026-06-29T00:00:00"/>
    <x v="1"/>
    <n v="89843.42"/>
    <n v="89.843419999999995"/>
  </r>
  <r>
    <x v="0"/>
    <x v="3"/>
    <d v="2026-06-29T00:00:00"/>
    <x v="4"/>
    <n v="21438.38"/>
    <n v="21.438380000000002"/>
  </r>
  <r>
    <x v="0"/>
    <x v="3"/>
    <d v="2026-06-29T00:00:00"/>
    <x v="3"/>
    <n v="19384.59"/>
    <n v="19.384589999999999"/>
  </r>
  <r>
    <x v="0"/>
    <x v="3"/>
    <d v="2026-06-29T00:00:00"/>
    <x v="6"/>
    <n v="13229.7"/>
    <n v="13.229700000000001"/>
  </r>
  <r>
    <x v="0"/>
    <x v="3"/>
    <d v="2026-06-29T00:00:00"/>
    <x v="5"/>
    <n v="11148.12"/>
    <n v="11.14812"/>
  </r>
  <r>
    <x v="0"/>
    <x v="3"/>
    <d v="2026-06-29T00:00:00"/>
    <x v="7"/>
    <n v="120.45"/>
    <n v="0.12045"/>
  </r>
  <r>
    <x v="0"/>
    <x v="3"/>
    <d v="2026-06-29T00:00:00"/>
    <x v="8"/>
    <n v="0"/>
    <n v="0"/>
  </r>
  <r>
    <x v="0"/>
    <x v="4"/>
    <d v="2026-06-29T00:00:00"/>
    <x v="0"/>
    <n v="650197.17000000004"/>
    <n v="650.19717000000003"/>
  </r>
  <r>
    <x v="0"/>
    <x v="4"/>
    <d v="2026-06-29T00:00:00"/>
    <x v="1"/>
    <n v="625880.74"/>
    <n v="625.88073999999995"/>
  </r>
  <r>
    <x v="0"/>
    <x v="4"/>
    <d v="2026-06-30T00:00:00"/>
    <x v="5"/>
    <n v="542582.41"/>
    <n v="542.58240999999998"/>
  </r>
  <r>
    <x v="0"/>
    <x v="4"/>
    <d v="2026-06-30T00:00:00"/>
    <x v="2"/>
    <n v="449623.55"/>
    <n v="449.62354999999997"/>
  </r>
  <r>
    <x v="0"/>
    <x v="4"/>
    <d v="2026-06-29T00:00:00"/>
    <x v="4"/>
    <n v="147262.18"/>
    <n v="147.26218"/>
  </r>
  <r>
    <x v="0"/>
    <x v="4"/>
    <d v="2026-06-29T00:00:00"/>
    <x v="3"/>
    <n v="137655.03"/>
    <n v="137.65503000000001"/>
  </r>
  <r>
    <x v="0"/>
    <x v="4"/>
    <d v="2026-06-29T00:00:00"/>
    <x v="6"/>
    <n v="93434.12"/>
    <n v="93.434119999999993"/>
  </r>
  <r>
    <x v="0"/>
    <x v="4"/>
    <d v="2026-06-30T00:00:00"/>
    <x v="7"/>
    <n v="2878.01"/>
    <n v="2.8780100000000002"/>
  </r>
  <r>
    <x v="0"/>
    <x v="4"/>
    <d v="2026-06-29T00:00:00"/>
    <x v="8"/>
    <n v="0"/>
    <n v="0"/>
  </r>
  <r>
    <x v="0"/>
    <x v="5"/>
    <d v="2026-06-29T00:00:00"/>
    <x v="1"/>
    <n v="140898.74"/>
    <n v="140.89874"/>
  </r>
  <r>
    <x v="0"/>
    <x v="5"/>
    <d v="2026-06-29T00:00:00"/>
    <x v="3"/>
    <n v="125768.89"/>
    <n v="125.76889"/>
  </r>
  <r>
    <x v="0"/>
    <x v="5"/>
    <d v="2026-06-29T00:00:00"/>
    <x v="0"/>
    <n v="103202.82"/>
    <n v="103.20282"/>
  </r>
  <r>
    <x v="0"/>
    <x v="5"/>
    <d v="2026-06-29T00:00:00"/>
    <x v="2"/>
    <n v="60467.51"/>
    <n v="60.467510000000004"/>
  </r>
  <r>
    <x v="0"/>
    <x v="5"/>
    <d v="2026-06-29T00:00:00"/>
    <x v="4"/>
    <n v="51852.4"/>
    <n v="51.852400000000003"/>
  </r>
  <r>
    <x v="0"/>
    <x v="5"/>
    <d v="2026-06-29T00:00:00"/>
    <x v="6"/>
    <n v="11769.55"/>
    <n v="11.769549999999999"/>
  </r>
  <r>
    <x v="0"/>
    <x v="5"/>
    <d v="2026-06-29T00:00:00"/>
    <x v="5"/>
    <n v="4928.7299999999996"/>
    <n v="4.9287299999999998"/>
  </r>
  <r>
    <x v="0"/>
    <x v="5"/>
    <d v="2026-06-29T00:00:00"/>
    <x v="8"/>
    <n v="0"/>
    <n v="0"/>
  </r>
  <r>
    <x v="0"/>
    <x v="5"/>
    <d v="2026-06-29T00:00:00"/>
    <x v="7"/>
    <n v="0"/>
    <n v="0"/>
  </r>
  <r>
    <x v="0"/>
    <x v="6"/>
    <d v="2026-06-29T00:00:00"/>
    <x v="0"/>
    <n v="472977.16"/>
    <n v="472.97715999999997"/>
  </r>
  <r>
    <x v="0"/>
    <x v="6"/>
    <d v="2026-06-30T00:00:00"/>
    <x v="2"/>
    <n v="426729.6"/>
    <n v="426.7296"/>
  </r>
  <r>
    <x v="0"/>
    <x v="6"/>
    <d v="2026-06-29T00:00:00"/>
    <x v="1"/>
    <n v="269630.74"/>
    <n v="269.63074"/>
  </r>
  <r>
    <x v="0"/>
    <x v="6"/>
    <d v="2026-06-29T00:00:00"/>
    <x v="3"/>
    <n v="205797.94"/>
    <n v="205.79794000000001"/>
  </r>
  <r>
    <x v="0"/>
    <x v="6"/>
    <d v="2026-06-29T00:00:00"/>
    <x v="4"/>
    <n v="120907.48"/>
    <n v="120.90747999999999"/>
  </r>
  <r>
    <x v="0"/>
    <x v="6"/>
    <d v="2026-06-29T00:00:00"/>
    <x v="6"/>
    <n v="49425.23"/>
    <n v="49.425230000000006"/>
  </r>
  <r>
    <x v="0"/>
    <x v="6"/>
    <d v="2026-06-30T00:00:00"/>
    <x v="5"/>
    <n v="36213.65"/>
    <n v="36.213650000000001"/>
  </r>
  <r>
    <x v="0"/>
    <x v="6"/>
    <d v="2026-06-29T00:00:00"/>
    <x v="7"/>
    <n v="657.13"/>
    <n v="0.65712999999999999"/>
  </r>
  <r>
    <x v="0"/>
    <x v="6"/>
    <d v="2026-06-29T00:00:00"/>
    <x v="8"/>
    <n v="0"/>
    <n v="0"/>
  </r>
  <r>
    <x v="0"/>
    <x v="7"/>
    <d v="2026-06-29T00:00:00"/>
    <x v="0"/>
    <n v="438195.49"/>
    <n v="438.19549000000001"/>
  </r>
  <r>
    <x v="0"/>
    <x v="7"/>
    <d v="2026-06-30T00:00:00"/>
    <x v="2"/>
    <n v="306952.2"/>
    <n v="306.9522"/>
  </r>
  <r>
    <x v="0"/>
    <x v="7"/>
    <d v="2026-06-29T00:00:00"/>
    <x v="1"/>
    <n v="250211.04"/>
    <n v="250.21104"/>
  </r>
  <r>
    <x v="0"/>
    <x v="7"/>
    <d v="2026-06-29T00:00:00"/>
    <x v="3"/>
    <n v="191468.74"/>
    <n v="191.46874"/>
  </r>
  <r>
    <x v="0"/>
    <x v="7"/>
    <d v="2026-06-29T00:00:00"/>
    <x v="4"/>
    <n v="112364.79"/>
    <n v="112.36479"/>
  </r>
  <r>
    <x v="0"/>
    <x v="7"/>
    <d v="2026-06-29T00:00:00"/>
    <x v="6"/>
    <n v="45855.9"/>
    <n v="45.855899999999998"/>
  </r>
  <r>
    <x v="0"/>
    <x v="7"/>
    <d v="2026-06-30T00:00:00"/>
    <x v="5"/>
    <n v="31090.37"/>
    <n v="31.09037"/>
  </r>
  <r>
    <x v="0"/>
    <x v="7"/>
    <d v="2026-06-29T00:00:00"/>
    <x v="7"/>
    <n v="569.32000000000005"/>
    <n v="0.56932000000000005"/>
  </r>
  <r>
    <x v="0"/>
    <x v="7"/>
    <d v="2026-06-29T00:00:00"/>
    <x v="8"/>
    <n v="0"/>
    <n v="0"/>
  </r>
  <r>
    <x v="0"/>
    <x v="8"/>
    <d v="2026-06-29T00:00:00"/>
    <x v="1"/>
    <n v="499006.31"/>
    <n v="499.00630999999998"/>
  </r>
  <r>
    <x v="0"/>
    <x v="8"/>
    <d v="2026-06-29T00:00:00"/>
    <x v="3"/>
    <n v="293872.94"/>
    <n v="293.87294000000003"/>
  </r>
  <r>
    <x v="0"/>
    <x v="8"/>
    <d v="2026-06-29T00:00:00"/>
    <x v="0"/>
    <n v="220329.68"/>
    <n v="220.32968"/>
  </r>
  <r>
    <x v="0"/>
    <x v="8"/>
    <d v="2026-06-29T00:00:00"/>
    <x v="2"/>
    <n v="88582.15"/>
    <n v="88.582149999999999"/>
  </r>
  <r>
    <x v="0"/>
    <x v="8"/>
    <d v="2026-06-29T00:00:00"/>
    <x v="4"/>
    <n v="53376.31"/>
    <n v="53.376309999999997"/>
  </r>
  <r>
    <x v="0"/>
    <x v="8"/>
    <d v="2026-06-29T00:00:00"/>
    <x v="6"/>
    <n v="23996.06"/>
    <n v="23.99606"/>
  </r>
  <r>
    <x v="0"/>
    <x v="8"/>
    <d v="2026-06-29T00:00:00"/>
    <x v="5"/>
    <n v="9598.7099999999991"/>
    <n v="9.5987099999999987"/>
  </r>
  <r>
    <x v="0"/>
    <x v="8"/>
    <d v="2026-06-29T00:00:00"/>
    <x v="7"/>
    <n v="296.74"/>
    <n v="0.29674"/>
  </r>
  <r>
    <x v="0"/>
    <x v="8"/>
    <d v="2026-06-29T00:00:00"/>
    <x v="8"/>
    <n v="0"/>
    <n v="0"/>
  </r>
  <r>
    <x v="0"/>
    <x v="9"/>
    <d v="2026-06-29T00:00:00"/>
    <x v="1"/>
    <n v="534159.74"/>
    <n v="534.15973999999994"/>
  </r>
  <r>
    <x v="0"/>
    <x v="9"/>
    <d v="2026-06-29T00:00:00"/>
    <x v="0"/>
    <n v="428867.16"/>
    <n v="428.86715999999996"/>
  </r>
  <r>
    <x v="0"/>
    <x v="9"/>
    <d v="2026-06-29T00:00:00"/>
    <x v="3"/>
    <n v="328046.64"/>
    <n v="328.04664000000002"/>
  </r>
  <r>
    <x v="0"/>
    <x v="9"/>
    <d v="2026-06-29T00:00:00"/>
    <x v="2"/>
    <n v="236506.79"/>
    <n v="236.50679"/>
  </r>
  <r>
    <x v="0"/>
    <x v="9"/>
    <d v="2026-06-29T00:00:00"/>
    <x v="4"/>
    <n v="74952"/>
    <n v="74.951999999999998"/>
  </r>
  <r>
    <x v="0"/>
    <x v="9"/>
    <d v="2026-06-29T00:00:00"/>
    <x v="6"/>
    <n v="41233.1"/>
    <n v="41.2331"/>
  </r>
  <r>
    <x v="0"/>
    <x v="9"/>
    <d v="2026-06-29T00:00:00"/>
    <x v="5"/>
    <n v="8597.33"/>
    <n v="8.5973299999999995"/>
  </r>
  <r>
    <x v="0"/>
    <x v="9"/>
    <d v="2026-06-29T00:00:00"/>
    <x v="7"/>
    <n v="900.03"/>
    <n v="0.90003"/>
  </r>
  <r>
    <x v="0"/>
    <x v="9"/>
    <d v="2026-06-29T00:00:00"/>
    <x v="8"/>
    <n v="0"/>
    <n v="0"/>
  </r>
  <r>
    <x v="0"/>
    <x v="10"/>
    <d v="2026-06-29T00:00:00"/>
    <x v="1"/>
    <n v="315810.39"/>
    <n v="315.81039000000004"/>
  </r>
  <r>
    <x v="0"/>
    <x v="10"/>
    <d v="2026-06-29T00:00:00"/>
    <x v="0"/>
    <n v="255770.87"/>
    <n v="255.77087"/>
  </r>
  <r>
    <x v="0"/>
    <x v="10"/>
    <d v="2026-06-29T00:00:00"/>
    <x v="3"/>
    <n v="195871.35999999999"/>
    <n v="195.87135999999998"/>
  </r>
  <r>
    <x v="0"/>
    <x v="10"/>
    <d v="2026-06-29T00:00:00"/>
    <x v="2"/>
    <n v="141177.53"/>
    <n v="141.17752999999999"/>
  </r>
  <r>
    <x v="0"/>
    <x v="10"/>
    <d v="2026-06-29T00:00:00"/>
    <x v="4"/>
    <n v="43991.16"/>
    <n v="43.991160000000001"/>
  </r>
  <r>
    <x v="0"/>
    <x v="10"/>
    <d v="2026-06-29T00:00:00"/>
    <x v="6"/>
    <n v="24650.7"/>
    <n v="24.650700000000001"/>
  </r>
  <r>
    <x v="0"/>
    <x v="10"/>
    <d v="2026-06-29T00:00:00"/>
    <x v="5"/>
    <n v="5036.49"/>
    <n v="5.0364899999999997"/>
  </r>
  <r>
    <x v="0"/>
    <x v="10"/>
    <d v="2026-06-29T00:00:00"/>
    <x v="7"/>
    <n v="430.08"/>
    <n v="0.43007999999999996"/>
  </r>
  <r>
    <x v="0"/>
    <x v="10"/>
    <d v="2026-06-29T00:00:00"/>
    <x v="8"/>
    <n v="0"/>
    <n v="0"/>
  </r>
  <r>
    <x v="0"/>
    <x v="11"/>
    <d v="2026-06-29T00:00:00"/>
    <x v="1"/>
    <n v="502356.3"/>
    <n v="502.35629999999998"/>
  </r>
  <r>
    <x v="0"/>
    <x v="11"/>
    <d v="2026-06-30T00:00:00"/>
    <x v="2"/>
    <n v="428673.73"/>
    <n v="428.67372999999998"/>
  </r>
  <r>
    <x v="0"/>
    <x v="11"/>
    <d v="2026-06-29T00:00:00"/>
    <x v="0"/>
    <n v="405801.08"/>
    <n v="405.80108000000001"/>
  </r>
  <r>
    <x v="0"/>
    <x v="11"/>
    <d v="2026-06-29T00:00:00"/>
    <x v="3"/>
    <n v="312754.90999999997"/>
    <n v="312.75491"/>
  </r>
  <r>
    <x v="0"/>
    <x v="11"/>
    <d v="2026-06-30T00:00:00"/>
    <x v="5"/>
    <n v="72779.92"/>
    <n v="72.779920000000004"/>
  </r>
  <r>
    <x v="0"/>
    <x v="11"/>
    <d v="2026-06-29T00:00:00"/>
    <x v="4"/>
    <n v="71129.62"/>
    <n v="71.129619999999989"/>
  </r>
  <r>
    <x v="0"/>
    <x v="11"/>
    <d v="2026-06-29T00:00:00"/>
    <x v="6"/>
    <n v="39304.47"/>
    <n v="39.304470000000002"/>
  </r>
  <r>
    <x v="0"/>
    <x v="11"/>
    <d v="2026-06-30T00:00:00"/>
    <x v="7"/>
    <n v="2314.71"/>
    <n v="2.3147099999999998"/>
  </r>
  <r>
    <x v="0"/>
    <x v="11"/>
    <d v="2026-06-29T00:00:00"/>
    <x v="8"/>
    <n v="0"/>
    <n v="0"/>
  </r>
  <r>
    <x v="1"/>
    <x v="0"/>
    <d v="2026-07-01T00:00:00"/>
    <x v="0"/>
    <n v="334656.13"/>
    <n v="334.65613000000002"/>
  </r>
  <r>
    <x v="1"/>
    <x v="0"/>
    <d v="2026-07-01T00:00:00"/>
    <x v="2"/>
    <n v="223328.71"/>
    <n v="223.32871"/>
  </r>
  <r>
    <x v="1"/>
    <x v="0"/>
    <d v="2026-07-21T00:00:00"/>
    <x v="1"/>
    <n v="221199.61"/>
    <n v="221.19960999999998"/>
  </r>
  <r>
    <x v="1"/>
    <x v="0"/>
    <d v="2026-07-01T00:00:00"/>
    <x v="3"/>
    <n v="155372.73000000001"/>
    <n v="155.37273000000002"/>
  </r>
  <r>
    <x v="1"/>
    <x v="0"/>
    <d v="2026-07-28T00:00:00"/>
    <x v="5"/>
    <n v="107558.26"/>
    <n v="107.55825999999999"/>
  </r>
  <r>
    <x v="1"/>
    <x v="0"/>
    <d v="2026-07-01T00:00:00"/>
    <x v="4"/>
    <n v="57460.97"/>
    <n v="57.460970000000003"/>
  </r>
  <r>
    <x v="1"/>
    <x v="0"/>
    <d v="2026-07-27T00:00:00"/>
    <x v="6"/>
    <n v="53895.16"/>
    <n v="53.895160000000004"/>
  </r>
  <r>
    <x v="1"/>
    <x v="0"/>
    <d v="2026-07-28T00:00:00"/>
    <x v="7"/>
    <n v="4467.54"/>
    <n v="4.4675399999999996"/>
  </r>
  <r>
    <x v="1"/>
    <x v="1"/>
    <d v="2026-07-01T00:00:00"/>
    <x v="0"/>
    <n v="588133.37"/>
    <n v="588.13337000000001"/>
  </r>
  <r>
    <x v="1"/>
    <x v="1"/>
    <d v="2026-07-01T00:00:00"/>
    <x v="3"/>
    <n v="407620.66"/>
    <n v="407.62065999999999"/>
  </r>
  <r>
    <x v="1"/>
    <x v="1"/>
    <d v="2026-07-01T00:00:00"/>
    <x v="2"/>
    <n v="279445.53000000003"/>
    <n v="279.44553000000002"/>
  </r>
  <r>
    <x v="1"/>
    <x v="1"/>
    <d v="2026-07-31T00:00:00"/>
    <x v="5"/>
    <n v="108390.23"/>
    <n v="108.39023"/>
  </r>
  <r>
    <x v="1"/>
    <x v="1"/>
    <d v="2026-07-01T00:00:00"/>
    <x v="4"/>
    <n v="107543.26"/>
    <n v="107.54325999999999"/>
  </r>
  <r>
    <x v="1"/>
    <x v="1"/>
    <d v="2026-07-31T00:00:00"/>
    <x v="7"/>
    <n v="53825.14"/>
    <n v="53.825139999999998"/>
  </r>
  <r>
    <x v="1"/>
    <x v="1"/>
    <d v="2026-07-01T00:00:00"/>
    <x v="6"/>
    <n v="41209.79"/>
    <n v="41.209789999999998"/>
  </r>
  <r>
    <x v="1"/>
    <x v="1"/>
    <d v="2026-07-01T00:00:00"/>
    <x v="1"/>
    <n v="31113.13"/>
    <n v="31.113130000000002"/>
  </r>
  <r>
    <x v="1"/>
    <x v="1"/>
    <d v="2026-07-01T00:00:00"/>
    <x v="8"/>
    <n v="0"/>
    <n v="0"/>
  </r>
  <r>
    <x v="1"/>
    <x v="2"/>
    <d v="2026-07-01T00:00:00"/>
    <x v="1"/>
    <n v="566455.13"/>
    <n v="566.45513000000005"/>
  </r>
  <r>
    <x v="1"/>
    <x v="2"/>
    <d v="2026-07-02T00:00:00"/>
    <x v="0"/>
    <n v="563441.26"/>
    <n v="563.44126000000006"/>
  </r>
  <r>
    <x v="1"/>
    <x v="2"/>
    <d v="2026-07-01T00:00:00"/>
    <x v="3"/>
    <n v="488669.47"/>
    <n v="488.66946999999999"/>
  </r>
  <r>
    <x v="1"/>
    <x v="2"/>
    <d v="2026-07-01T00:00:00"/>
    <x v="2"/>
    <n v="398019.25"/>
    <n v="398.01925"/>
  </r>
  <r>
    <x v="1"/>
    <x v="2"/>
    <d v="2026-07-01T00:00:00"/>
    <x v="4"/>
    <n v="121393.21"/>
    <n v="121.39321000000001"/>
  </r>
  <r>
    <x v="1"/>
    <x v="2"/>
    <d v="2026-07-31T00:00:00"/>
    <x v="5"/>
    <n v="73333.45"/>
    <n v="73.333449999999999"/>
  </r>
  <r>
    <x v="1"/>
    <x v="2"/>
    <d v="2026-07-20T00:00:00"/>
    <x v="6"/>
    <n v="43982.01"/>
    <n v="43.982010000000002"/>
  </r>
  <r>
    <x v="1"/>
    <x v="2"/>
    <d v="2026-07-30T00:00:00"/>
    <x v="7"/>
    <n v="4117.25"/>
    <n v="4.1172500000000003"/>
  </r>
  <r>
    <x v="1"/>
    <x v="2"/>
    <d v="2026-07-01T00:00:00"/>
    <x v="8"/>
    <n v="0"/>
    <n v="0"/>
  </r>
  <r>
    <x v="1"/>
    <x v="3"/>
    <d v="2026-07-08T00:00:00"/>
    <x v="5"/>
    <n v="305378.52"/>
    <n v="305.37852000000004"/>
  </r>
  <r>
    <x v="1"/>
    <x v="3"/>
    <d v="2026-07-07T00:00:00"/>
    <x v="2"/>
    <n v="146534.01999999999"/>
    <n v="146.53402"/>
  </r>
  <r>
    <x v="1"/>
    <x v="3"/>
    <d v="2026-07-07T00:00:00"/>
    <x v="0"/>
    <n v="93597.57"/>
    <n v="93.597570000000005"/>
  </r>
  <r>
    <x v="1"/>
    <x v="3"/>
    <d v="2026-07-01T00:00:00"/>
    <x v="1"/>
    <n v="78251.53"/>
    <n v="78.251530000000002"/>
  </r>
  <r>
    <x v="1"/>
    <x v="3"/>
    <d v="2026-07-31T00:00:00"/>
    <x v="6"/>
    <n v="30419.83"/>
    <n v="30.419830000000001"/>
  </r>
  <r>
    <x v="1"/>
    <x v="3"/>
    <d v="2026-07-01T00:00:00"/>
    <x v="4"/>
    <n v="19352.41"/>
    <n v="19.352409999999999"/>
  </r>
  <r>
    <x v="1"/>
    <x v="3"/>
    <d v="2026-07-01T00:00:00"/>
    <x v="3"/>
    <n v="17231.68"/>
    <n v="17.231680000000001"/>
  </r>
  <r>
    <x v="1"/>
    <x v="3"/>
    <d v="2026-07-31T00:00:00"/>
    <x v="7"/>
    <n v="3155.57"/>
    <n v="3.15557"/>
  </r>
  <r>
    <x v="1"/>
    <x v="3"/>
    <d v="2026-07-01T00:00:00"/>
    <x v="8"/>
    <n v="0"/>
    <n v="0"/>
  </r>
  <r>
    <x v="1"/>
    <x v="4"/>
    <d v="2026-07-22T00:00:00"/>
    <x v="5"/>
    <n v="754730.75"/>
    <n v="754.73074999999994"/>
  </r>
  <r>
    <x v="1"/>
    <x v="4"/>
    <d v="2026-07-01T00:00:00"/>
    <x v="0"/>
    <n v="622268.93000000005"/>
    <n v="622.26893000000007"/>
  </r>
  <r>
    <x v="1"/>
    <x v="4"/>
    <d v="2026-07-01T00:00:00"/>
    <x v="1"/>
    <n v="596911.4"/>
    <n v="596.91140000000007"/>
  </r>
  <r>
    <x v="1"/>
    <x v="4"/>
    <d v="2026-07-01T00:00:00"/>
    <x v="2"/>
    <n v="442618.77"/>
    <n v="442.61877000000004"/>
  </r>
  <r>
    <x v="1"/>
    <x v="4"/>
    <d v="2026-07-01T00:00:00"/>
    <x v="4"/>
    <n v="140580.04"/>
    <n v="140.58004"/>
  </r>
  <r>
    <x v="1"/>
    <x v="4"/>
    <d v="2026-07-01T00:00:00"/>
    <x v="3"/>
    <n v="130851.86"/>
    <n v="130.85185999999999"/>
  </r>
  <r>
    <x v="1"/>
    <x v="4"/>
    <d v="2026-07-01T00:00:00"/>
    <x v="6"/>
    <n v="88943.44"/>
    <n v="88.943439999999995"/>
  </r>
  <r>
    <x v="1"/>
    <x v="4"/>
    <d v="2026-07-30T00:00:00"/>
    <x v="7"/>
    <n v="7555.32"/>
    <n v="7.55532"/>
  </r>
  <r>
    <x v="1"/>
    <x v="4"/>
    <d v="2026-07-01T00:00:00"/>
    <x v="8"/>
    <n v="0"/>
    <n v="0"/>
  </r>
  <r>
    <x v="1"/>
    <x v="5"/>
    <d v="2026-07-01T00:00:00"/>
    <x v="1"/>
    <n v="134008.15"/>
    <n v="134.00815"/>
  </r>
  <r>
    <x v="1"/>
    <x v="5"/>
    <d v="2026-07-01T00:00:00"/>
    <x v="3"/>
    <n v="120082.26"/>
    <n v="120.08225999999999"/>
  </r>
  <r>
    <x v="1"/>
    <x v="5"/>
    <d v="2026-07-01T00:00:00"/>
    <x v="0"/>
    <n v="98130.45"/>
    <n v="98.130449999999996"/>
  </r>
  <r>
    <x v="1"/>
    <x v="5"/>
    <d v="2026-07-05T00:00:00"/>
    <x v="2"/>
    <n v="71339.350000000006"/>
    <n v="71.33935000000001"/>
  </r>
  <r>
    <x v="1"/>
    <x v="5"/>
    <d v="2026-07-01T00:00:00"/>
    <x v="4"/>
    <n v="49745.48"/>
    <n v="49.745480000000001"/>
  </r>
  <r>
    <x v="1"/>
    <x v="5"/>
    <d v="2026-07-25T00:00:00"/>
    <x v="5"/>
    <n v="41469.43"/>
    <n v="41.469430000000003"/>
  </r>
  <r>
    <x v="1"/>
    <x v="5"/>
    <d v="2026-07-01T00:00:00"/>
    <x v="6"/>
    <n v="11551.54"/>
    <n v="11.551540000000001"/>
  </r>
  <r>
    <x v="1"/>
    <x v="5"/>
    <d v="2026-07-01T00:00:00"/>
    <x v="8"/>
    <n v="0"/>
    <n v="0"/>
  </r>
  <r>
    <x v="1"/>
    <x v="5"/>
    <d v="2026-07-01T00:00:00"/>
    <x v="7"/>
    <n v="0"/>
    <n v="0"/>
  </r>
  <r>
    <x v="1"/>
    <x v="6"/>
    <d v="2026-07-07T00:00:00"/>
    <x v="2"/>
    <n v="482283.22"/>
    <n v="482.28321999999997"/>
  </r>
  <r>
    <x v="1"/>
    <x v="6"/>
    <d v="2026-07-01T00:00:00"/>
    <x v="0"/>
    <n v="446590.04"/>
    <n v="446.59003999999999"/>
  </r>
  <r>
    <x v="1"/>
    <x v="6"/>
    <d v="2026-07-01T00:00:00"/>
    <x v="1"/>
    <n v="249046.48"/>
    <n v="249.04648"/>
  </r>
  <r>
    <x v="1"/>
    <x v="6"/>
    <d v="2026-07-01T00:00:00"/>
    <x v="3"/>
    <n v="188897.29"/>
    <n v="188.89729"/>
  </r>
  <r>
    <x v="1"/>
    <x v="6"/>
    <d v="2026-07-01T00:00:00"/>
    <x v="4"/>
    <n v="112118.93"/>
    <n v="112.11892999999999"/>
  </r>
  <r>
    <x v="1"/>
    <x v="6"/>
    <d v="2026-07-30T00:00:00"/>
    <x v="5"/>
    <n v="70507.33"/>
    <n v="70.507329999999996"/>
  </r>
  <r>
    <x v="1"/>
    <x v="6"/>
    <d v="2026-07-31T00:00:00"/>
    <x v="6"/>
    <n v="56044.63"/>
    <n v="56.044629999999998"/>
  </r>
  <r>
    <x v="1"/>
    <x v="6"/>
    <d v="2026-07-30T00:00:00"/>
    <x v="7"/>
    <n v="1947.69"/>
    <n v="1.9476900000000001"/>
  </r>
  <r>
    <x v="1"/>
    <x v="6"/>
    <d v="2026-07-01T00:00:00"/>
    <x v="8"/>
    <n v="0"/>
    <n v="0"/>
  </r>
  <r>
    <x v="1"/>
    <x v="7"/>
    <d v="2026-07-01T00:00:00"/>
    <x v="0"/>
    <n v="413248.84"/>
    <n v="413.24884000000003"/>
  </r>
  <r>
    <x v="1"/>
    <x v="7"/>
    <d v="2026-07-04T00:00:00"/>
    <x v="2"/>
    <n v="327260.09000000003"/>
    <n v="327.26009000000005"/>
  </r>
  <r>
    <x v="1"/>
    <x v="7"/>
    <d v="2026-07-01T00:00:00"/>
    <x v="1"/>
    <n v="236087.81"/>
    <n v="236.08780999999999"/>
  </r>
  <r>
    <x v="1"/>
    <x v="7"/>
    <d v="2026-07-01T00:00:00"/>
    <x v="3"/>
    <n v="180505.98"/>
    <n v="180.50598000000002"/>
  </r>
  <r>
    <x v="1"/>
    <x v="7"/>
    <d v="2026-07-01T00:00:00"/>
    <x v="4"/>
    <n v="106622.47"/>
    <n v="106.62247000000001"/>
  </r>
  <r>
    <x v="1"/>
    <x v="7"/>
    <d v="2026-07-31T00:00:00"/>
    <x v="5"/>
    <n v="46706.09"/>
    <n v="46.706089999999996"/>
  </r>
  <r>
    <x v="1"/>
    <x v="7"/>
    <d v="2026-07-01T00:00:00"/>
    <x v="6"/>
    <n v="43546.65"/>
    <n v="43.54665"/>
  </r>
  <r>
    <x v="1"/>
    <x v="7"/>
    <d v="2026-07-31T00:00:00"/>
    <x v="7"/>
    <n v="1449.45"/>
    <n v="1.4494500000000001"/>
  </r>
  <r>
    <x v="1"/>
    <x v="7"/>
    <d v="2026-07-01T00:00:00"/>
    <x v="8"/>
    <n v="0"/>
    <n v="0"/>
  </r>
  <r>
    <x v="1"/>
    <x v="8"/>
    <d v="2026-07-01T00:00:00"/>
    <x v="1"/>
    <n v="473487.8"/>
    <n v="473.48779999999999"/>
  </r>
  <r>
    <x v="1"/>
    <x v="8"/>
    <d v="2026-07-01T00:00:00"/>
    <x v="3"/>
    <n v="278860.93"/>
    <n v="278.86093"/>
  </r>
  <r>
    <x v="1"/>
    <x v="8"/>
    <d v="2026-07-01T00:00:00"/>
    <x v="0"/>
    <n v="207436.49"/>
    <n v="207.43648999999999"/>
  </r>
  <r>
    <x v="1"/>
    <x v="8"/>
    <d v="2026-07-10T00:00:00"/>
    <x v="2"/>
    <n v="117603.26"/>
    <n v="117.60325999999999"/>
  </r>
  <r>
    <x v="1"/>
    <x v="8"/>
    <d v="2026-07-31T00:00:00"/>
    <x v="5"/>
    <n v="74464.22"/>
    <n v="74.464219999999997"/>
  </r>
  <r>
    <x v="1"/>
    <x v="8"/>
    <d v="2026-07-01T00:00:00"/>
    <x v="4"/>
    <n v="50641.52"/>
    <n v="50.64152"/>
  </r>
  <r>
    <x v="1"/>
    <x v="8"/>
    <d v="2026-07-01T00:00:00"/>
    <x v="6"/>
    <n v="22612.94"/>
    <n v="22.612939999999998"/>
  </r>
  <r>
    <x v="1"/>
    <x v="8"/>
    <d v="2026-07-31T00:00:00"/>
    <x v="7"/>
    <n v="1497.14"/>
    <n v="1.4971400000000001"/>
  </r>
  <r>
    <x v="1"/>
    <x v="8"/>
    <d v="2026-07-01T00:00:00"/>
    <x v="8"/>
    <n v="0"/>
    <n v="0"/>
  </r>
  <r>
    <x v="1"/>
    <x v="9"/>
    <d v="2026-07-02T00:00:00"/>
    <x v="2"/>
    <n v="586414.31999999995"/>
    <n v="586.41431999999998"/>
  </r>
  <r>
    <x v="1"/>
    <x v="9"/>
    <d v="2026-07-01T00:00:00"/>
    <x v="1"/>
    <n v="487879.4"/>
    <n v="487.87940000000003"/>
  </r>
  <r>
    <x v="1"/>
    <x v="9"/>
    <d v="2026-07-01T00:00:00"/>
    <x v="0"/>
    <n v="445142.84"/>
    <n v="445.14284000000004"/>
  </r>
  <r>
    <x v="1"/>
    <x v="9"/>
    <d v="2026-07-01T00:00:00"/>
    <x v="3"/>
    <n v="301990.15999999997"/>
    <n v="301.99015999999995"/>
  </r>
  <r>
    <x v="1"/>
    <x v="9"/>
    <d v="2026-07-25T00:00:00"/>
    <x v="5"/>
    <n v="124860.65"/>
    <n v="124.86064999999999"/>
  </r>
  <r>
    <x v="1"/>
    <x v="9"/>
    <d v="2026-07-01T00:00:00"/>
    <x v="4"/>
    <n v="71378.02"/>
    <n v="71.378020000000006"/>
  </r>
  <r>
    <x v="1"/>
    <x v="9"/>
    <d v="2026-07-09T00:00:00"/>
    <x v="6"/>
    <n v="50453.13"/>
    <n v="50.453129999999994"/>
  </r>
  <r>
    <x v="1"/>
    <x v="9"/>
    <d v="2026-07-24T00:00:00"/>
    <x v="7"/>
    <n v="4250.37"/>
    <n v="4.2503700000000002"/>
  </r>
  <r>
    <x v="1"/>
    <x v="9"/>
    <d v="2026-07-01T00:00:00"/>
    <x v="8"/>
    <n v="0"/>
    <n v="0"/>
  </r>
  <r>
    <x v="1"/>
    <x v="10"/>
    <d v="2026-07-02T00:00:00"/>
    <x v="2"/>
    <n v="392658.6"/>
    <n v="392.65859999999998"/>
  </r>
  <r>
    <x v="1"/>
    <x v="10"/>
    <d v="2026-07-02T00:00:00"/>
    <x v="0"/>
    <n v="279120.46000000002"/>
    <n v="279.12046000000004"/>
  </r>
  <r>
    <x v="1"/>
    <x v="10"/>
    <d v="2026-07-01T00:00:00"/>
    <x v="1"/>
    <n v="277694.84000000003"/>
    <n v="277.69484"/>
  </r>
  <r>
    <x v="1"/>
    <x v="10"/>
    <d v="2026-07-01T00:00:00"/>
    <x v="3"/>
    <n v="172754.92"/>
    <n v="172.75492000000003"/>
  </r>
  <r>
    <x v="1"/>
    <x v="10"/>
    <d v="2026-07-26T00:00:00"/>
    <x v="5"/>
    <n v="85687.3"/>
    <n v="85.687300000000008"/>
  </r>
  <r>
    <x v="1"/>
    <x v="10"/>
    <d v="2026-07-01T00:00:00"/>
    <x v="4"/>
    <n v="40393.46"/>
    <n v="40.393459999999997"/>
  </r>
  <r>
    <x v="1"/>
    <x v="10"/>
    <d v="2026-07-29T00:00:00"/>
    <x v="6"/>
    <n v="34583.85"/>
    <n v="34.583849999999998"/>
  </r>
  <r>
    <x v="1"/>
    <x v="10"/>
    <d v="2026-07-26T00:00:00"/>
    <x v="7"/>
    <n v="2813.06"/>
    <n v="2.8130600000000001"/>
  </r>
  <r>
    <x v="1"/>
    <x v="10"/>
    <d v="2026-07-01T00:00:00"/>
    <x v="8"/>
    <n v="0"/>
    <n v="0"/>
  </r>
  <r>
    <x v="1"/>
    <x v="11"/>
    <d v="2026-07-02T00:00:00"/>
    <x v="2"/>
    <n v="495737.36"/>
    <n v="495.73735999999997"/>
  </r>
  <r>
    <x v="1"/>
    <x v="11"/>
    <d v="2026-07-01T00:00:00"/>
    <x v="1"/>
    <n v="450088.8"/>
    <n v="450.08879999999999"/>
  </r>
  <r>
    <x v="1"/>
    <x v="11"/>
    <d v="2026-07-01T00:00:00"/>
    <x v="0"/>
    <n v="412730.87"/>
    <n v="412.73086999999998"/>
  </r>
  <r>
    <x v="1"/>
    <x v="11"/>
    <d v="2026-07-01T00:00:00"/>
    <x v="3"/>
    <n v="283313.58"/>
    <n v="283.31358"/>
  </r>
  <r>
    <x v="1"/>
    <x v="11"/>
    <d v="2026-07-31T00:00:00"/>
    <x v="5"/>
    <n v="106229.69"/>
    <n v="106.22969000000001"/>
  </r>
  <r>
    <x v="1"/>
    <x v="11"/>
    <d v="2026-07-01T00:00:00"/>
    <x v="4"/>
    <n v="66121.649999999994"/>
    <n v="66.121649999999988"/>
  </r>
  <r>
    <x v="1"/>
    <x v="11"/>
    <d v="2026-07-26T00:00:00"/>
    <x v="6"/>
    <n v="42961.39"/>
    <n v="42.961390000000002"/>
  </r>
  <r>
    <x v="1"/>
    <x v="11"/>
    <d v="2026-07-31T00:00:00"/>
    <x v="7"/>
    <n v="3738.3"/>
    <n v="3.7383000000000002"/>
  </r>
  <r>
    <x v="1"/>
    <x v="11"/>
    <d v="2026-07-01T00:00:00"/>
    <x v="8"/>
    <n v="0"/>
    <n v="0"/>
  </r>
  <r>
    <x v="2"/>
    <x v="0"/>
    <d v="2026-08-02T00:00:00"/>
    <x v="0"/>
    <n v="246435.14"/>
    <n v="246.43514000000002"/>
  </r>
  <r>
    <x v="2"/>
    <x v="0"/>
    <d v="2026-08-23T00:00:00"/>
    <x v="1"/>
    <n v="228837.81"/>
    <n v="228.83780999999999"/>
  </r>
  <r>
    <x v="2"/>
    <x v="0"/>
    <d v="2026-08-02T00:00:00"/>
    <x v="2"/>
    <n v="189241.85"/>
    <n v="189.24185"/>
  </r>
  <r>
    <x v="2"/>
    <x v="0"/>
    <d v="2026-08-25T00:00:00"/>
    <x v="3"/>
    <n v="159000.99"/>
    <n v="159.00099"/>
  </r>
  <r>
    <x v="2"/>
    <x v="0"/>
    <d v="2026-08-19T00:00:00"/>
    <x v="5"/>
    <n v="106804.4"/>
    <n v="106.8044"/>
  </r>
  <r>
    <x v="2"/>
    <x v="0"/>
    <d v="2026-08-24T00:00:00"/>
    <x v="6"/>
    <n v="59797.67"/>
    <n v="59.797669999999997"/>
  </r>
  <r>
    <x v="2"/>
    <x v="0"/>
    <d v="2026-08-23T00:00:00"/>
    <x v="4"/>
    <n v="40600.14"/>
    <n v="40.600139999999996"/>
  </r>
  <r>
    <x v="2"/>
    <x v="0"/>
    <d v="2026-08-24T00:00:00"/>
    <x v="7"/>
    <n v="14467.96"/>
    <n v="14.46796"/>
  </r>
  <r>
    <x v="2"/>
    <x v="1"/>
    <d v="2026-08-03T00:00:00"/>
    <x v="0"/>
    <n v="264097.39"/>
    <n v="264.09739000000002"/>
  </r>
  <r>
    <x v="2"/>
    <x v="1"/>
    <d v="2026-08-05T00:00:00"/>
    <x v="2"/>
    <n v="210920.15"/>
    <n v="210.92015000000001"/>
  </r>
  <r>
    <x v="2"/>
    <x v="1"/>
    <d v="2026-08-21T00:00:00"/>
    <x v="3"/>
    <n v="165305.38"/>
    <n v="165.30538000000001"/>
  </r>
  <r>
    <x v="2"/>
    <x v="1"/>
    <d v="2026-08-30T00:00:00"/>
    <x v="7"/>
    <n v="130299.79"/>
    <n v="130.29979"/>
  </r>
  <r>
    <x v="2"/>
    <x v="1"/>
    <d v="2026-08-30T00:00:00"/>
    <x v="5"/>
    <n v="115153.96"/>
    <n v="115.15396000000001"/>
  </r>
  <r>
    <x v="2"/>
    <x v="1"/>
    <d v="2026-08-27T00:00:00"/>
    <x v="4"/>
    <n v="59622.75"/>
    <n v="59.622750000000003"/>
  </r>
  <r>
    <x v="2"/>
    <x v="1"/>
    <d v="2026-08-29T00:00:00"/>
    <x v="6"/>
    <n v="42866.55"/>
    <n v="42.866550000000004"/>
  </r>
  <r>
    <x v="2"/>
    <x v="1"/>
    <d v="2026-08-29T00:00:00"/>
    <x v="1"/>
    <n v="8358.44"/>
    <n v="8.3584399999999999"/>
  </r>
  <r>
    <x v="2"/>
    <x v="1"/>
    <d v="2026-08-01T00:00:00"/>
    <x v="8"/>
    <n v="0"/>
    <n v="0"/>
  </r>
  <r>
    <x v="2"/>
    <x v="2"/>
    <d v="2026-08-30T00:00:00"/>
    <x v="3"/>
    <n v="338092.27"/>
    <n v="338.09227000000004"/>
  </r>
  <r>
    <x v="2"/>
    <x v="2"/>
    <d v="2026-08-01T00:00:00"/>
    <x v="0"/>
    <n v="332569.03000000003"/>
    <n v="332.56903000000005"/>
  </r>
  <r>
    <x v="2"/>
    <x v="2"/>
    <d v="2026-08-01T00:00:00"/>
    <x v="2"/>
    <n v="305226.74"/>
    <n v="305.22674000000001"/>
  </r>
  <r>
    <x v="2"/>
    <x v="2"/>
    <d v="2026-08-04T00:00:00"/>
    <x v="1"/>
    <n v="151314.56"/>
    <n v="151.31456"/>
  </r>
  <r>
    <x v="2"/>
    <x v="2"/>
    <d v="2026-08-30T00:00:00"/>
    <x v="5"/>
    <n v="84578.08"/>
    <n v="84.57808"/>
  </r>
  <r>
    <x v="2"/>
    <x v="2"/>
    <d v="2026-08-30T00:00:00"/>
    <x v="6"/>
    <n v="51953.43"/>
    <n v="51.953429999999997"/>
  </r>
  <r>
    <x v="2"/>
    <x v="2"/>
    <d v="2026-08-30T00:00:00"/>
    <x v="4"/>
    <n v="40152.92"/>
    <n v="40.152920000000002"/>
  </r>
  <r>
    <x v="2"/>
    <x v="2"/>
    <d v="2026-08-30T00:00:00"/>
    <x v="7"/>
    <n v="7074.58"/>
    <n v="7.0745800000000001"/>
  </r>
  <r>
    <x v="2"/>
    <x v="2"/>
    <d v="2026-08-01T00:00:00"/>
    <x v="8"/>
    <n v="0"/>
    <n v="0"/>
  </r>
  <r>
    <x v="2"/>
    <x v="3"/>
    <d v="2026-08-01T00:00:00"/>
    <x v="5"/>
    <n v="299162.14"/>
    <n v="299.16214000000002"/>
  </r>
  <r>
    <x v="2"/>
    <x v="3"/>
    <d v="2026-08-01T00:00:00"/>
    <x v="2"/>
    <n v="128236.03"/>
    <n v="128.23603"/>
  </r>
  <r>
    <x v="2"/>
    <x v="3"/>
    <d v="2026-08-05T00:00:00"/>
    <x v="0"/>
    <n v="83365.259999999995"/>
    <n v="83.365259999999992"/>
  </r>
  <r>
    <x v="2"/>
    <x v="3"/>
    <d v="2026-08-22T00:00:00"/>
    <x v="1"/>
    <n v="50256.06"/>
    <n v="50.256059999999998"/>
  </r>
  <r>
    <x v="2"/>
    <x v="3"/>
    <d v="2026-08-29T00:00:00"/>
    <x v="6"/>
    <n v="32283.18"/>
    <n v="32.283180000000002"/>
  </r>
  <r>
    <x v="2"/>
    <x v="3"/>
    <d v="2026-08-22T00:00:00"/>
    <x v="4"/>
    <n v="22370.81"/>
    <n v="22.370810000000002"/>
  </r>
  <r>
    <x v="2"/>
    <x v="3"/>
    <d v="2026-08-29T00:00:00"/>
    <x v="3"/>
    <n v="19115.150000000001"/>
    <n v="19.11515"/>
  </r>
  <r>
    <x v="2"/>
    <x v="3"/>
    <d v="2026-08-29T00:00:00"/>
    <x v="7"/>
    <n v="4858.59"/>
    <n v="4.8585900000000004"/>
  </r>
  <r>
    <x v="2"/>
    <x v="3"/>
    <d v="2026-08-01T00:00:00"/>
    <x v="8"/>
    <n v="0"/>
    <n v="0"/>
  </r>
  <r>
    <x v="2"/>
    <x v="4"/>
    <d v="2026-08-06T00:00:00"/>
    <x v="5"/>
    <n v="749261.96"/>
    <n v="749.26195999999993"/>
  </r>
  <r>
    <x v="2"/>
    <x v="4"/>
    <d v="2026-08-01T00:00:00"/>
    <x v="2"/>
    <n v="330347.68"/>
    <n v="330.34767999999997"/>
  </r>
  <r>
    <x v="2"/>
    <x v="4"/>
    <d v="2026-08-01T00:00:00"/>
    <x v="0"/>
    <n v="172979.34"/>
    <n v="172.97934000000001"/>
  </r>
  <r>
    <x v="2"/>
    <x v="4"/>
    <d v="2026-08-06T00:00:00"/>
    <x v="1"/>
    <n v="138154.23000000001"/>
    <n v="138.15423000000001"/>
  </r>
  <r>
    <x v="2"/>
    <x v="4"/>
    <d v="2026-08-31T00:00:00"/>
    <x v="6"/>
    <n v="80879.87"/>
    <n v="80.879869999999997"/>
  </r>
  <r>
    <x v="2"/>
    <x v="4"/>
    <d v="2026-08-31T00:00:00"/>
    <x v="4"/>
    <n v="61200.52"/>
    <n v="61.200519999999997"/>
  </r>
  <r>
    <x v="2"/>
    <x v="4"/>
    <d v="2026-08-31T00:00:00"/>
    <x v="3"/>
    <n v="49522.55"/>
    <n v="49.522550000000003"/>
  </r>
  <r>
    <x v="2"/>
    <x v="4"/>
    <d v="2026-08-31T00:00:00"/>
    <x v="7"/>
    <n v="12005.88"/>
    <n v="12.005879999999999"/>
  </r>
  <r>
    <x v="2"/>
    <x v="4"/>
    <d v="2026-08-01T00:00:00"/>
    <x v="8"/>
    <n v="0"/>
    <n v="0"/>
  </r>
  <r>
    <x v="2"/>
    <x v="5"/>
    <d v="2026-08-02T00:00:00"/>
    <x v="2"/>
    <n v="56948.95"/>
    <n v="56.948949999999996"/>
  </r>
  <r>
    <x v="2"/>
    <x v="5"/>
    <d v="2026-08-18T00:00:00"/>
    <x v="1"/>
    <n v="50164.21"/>
    <n v="50.164209999999997"/>
  </r>
  <r>
    <x v="2"/>
    <x v="5"/>
    <d v="2026-08-18T00:00:00"/>
    <x v="5"/>
    <n v="42129.87"/>
    <n v="42.129870000000004"/>
  </r>
  <r>
    <x v="2"/>
    <x v="5"/>
    <d v="2026-08-31T00:00:00"/>
    <x v="3"/>
    <n v="37324.47"/>
    <n v="37.324469999999998"/>
  </r>
  <r>
    <x v="2"/>
    <x v="5"/>
    <d v="2026-08-02T00:00:00"/>
    <x v="0"/>
    <n v="36460.39"/>
    <n v="36.460389999999997"/>
  </r>
  <r>
    <x v="2"/>
    <x v="5"/>
    <d v="2026-08-30T00:00:00"/>
    <x v="4"/>
    <n v="24649.25"/>
    <n v="24.649249999999999"/>
  </r>
  <r>
    <x v="2"/>
    <x v="5"/>
    <d v="2026-08-31T00:00:00"/>
    <x v="6"/>
    <n v="10573.49"/>
    <n v="10.57349"/>
  </r>
  <r>
    <x v="2"/>
    <x v="5"/>
    <d v="2026-08-01T00:00:00"/>
    <x v="8"/>
    <n v="0"/>
    <n v="0"/>
  </r>
  <r>
    <x v="2"/>
    <x v="5"/>
    <d v="2026-08-01T00:00:00"/>
    <x v="7"/>
    <n v="0"/>
    <n v="0"/>
  </r>
  <r>
    <x v="2"/>
    <x v="6"/>
    <d v="2026-08-01T00:00:00"/>
    <x v="2"/>
    <n v="396441.25"/>
    <n v="396.44125000000003"/>
  </r>
  <r>
    <x v="2"/>
    <x v="6"/>
    <d v="2026-08-01T00:00:00"/>
    <x v="0"/>
    <n v="175978.8"/>
    <n v="175.97879999999998"/>
  </r>
  <r>
    <x v="2"/>
    <x v="6"/>
    <d v="2026-08-31T00:00:00"/>
    <x v="3"/>
    <n v="114110.2"/>
    <n v="114.11019999999999"/>
  </r>
  <r>
    <x v="2"/>
    <x v="6"/>
    <d v="2026-08-25T00:00:00"/>
    <x v="1"/>
    <n v="99270.95"/>
    <n v="99.270949999999999"/>
  </r>
  <r>
    <x v="2"/>
    <x v="6"/>
    <d v="2026-08-31T00:00:00"/>
    <x v="5"/>
    <n v="71539.47"/>
    <n v="71.539469999999994"/>
  </r>
  <r>
    <x v="2"/>
    <x v="6"/>
    <d v="2026-08-21T00:00:00"/>
    <x v="6"/>
    <n v="59379.57"/>
    <n v="59.379570000000001"/>
  </r>
  <r>
    <x v="2"/>
    <x v="6"/>
    <d v="2026-08-31T00:00:00"/>
    <x v="4"/>
    <n v="47389.16"/>
    <n v="47.389160000000004"/>
  </r>
  <r>
    <x v="2"/>
    <x v="6"/>
    <d v="2026-08-29T00:00:00"/>
    <x v="7"/>
    <n v="3001.59"/>
    <n v="3.0015900000000002"/>
  </r>
  <r>
    <x v="2"/>
    <x v="6"/>
    <d v="2026-08-01T00:00:00"/>
    <x v="8"/>
    <n v="0"/>
    <n v="0"/>
  </r>
  <r>
    <x v="2"/>
    <x v="7"/>
    <d v="2026-08-02T00:00:00"/>
    <x v="2"/>
    <n v="257885.41"/>
    <n v="257.88540999999998"/>
  </r>
  <r>
    <x v="2"/>
    <x v="7"/>
    <d v="2026-08-02T00:00:00"/>
    <x v="0"/>
    <n v="113512.27"/>
    <n v="113.51227"/>
  </r>
  <r>
    <x v="2"/>
    <x v="7"/>
    <d v="2026-08-28T00:00:00"/>
    <x v="3"/>
    <n v="75932.23"/>
    <n v="75.93222999999999"/>
  </r>
  <r>
    <x v="2"/>
    <x v="7"/>
    <d v="2026-08-28T00:00:00"/>
    <x v="1"/>
    <n v="68170.600000000006"/>
    <n v="68.170600000000007"/>
  </r>
  <r>
    <x v="2"/>
    <x v="7"/>
    <d v="2026-08-31T00:00:00"/>
    <x v="5"/>
    <n v="47831.78"/>
    <n v="47.831780000000002"/>
  </r>
  <r>
    <x v="2"/>
    <x v="7"/>
    <d v="2026-08-22T00:00:00"/>
    <x v="6"/>
    <n v="38803.300000000003"/>
    <n v="38.8033"/>
  </r>
  <r>
    <x v="2"/>
    <x v="7"/>
    <d v="2026-08-23T00:00:00"/>
    <x v="4"/>
    <n v="34242.300000000003"/>
    <n v="34.2423"/>
  </r>
  <r>
    <x v="2"/>
    <x v="7"/>
    <d v="2026-08-28T00:00:00"/>
    <x v="7"/>
    <n v="1984.52"/>
    <n v="1.9845200000000001"/>
  </r>
  <r>
    <x v="2"/>
    <x v="7"/>
    <d v="2026-08-01T00:00:00"/>
    <x v="8"/>
    <n v="0"/>
    <n v="0"/>
  </r>
  <r>
    <x v="2"/>
    <x v="8"/>
    <d v="2026-08-04T00:00:00"/>
    <x v="1"/>
    <n v="109818"/>
    <n v="109.818"/>
  </r>
  <r>
    <x v="2"/>
    <x v="8"/>
    <d v="2026-08-27T00:00:00"/>
    <x v="3"/>
    <n v="93737.43"/>
    <n v="93.737429999999989"/>
  </r>
  <r>
    <x v="2"/>
    <x v="8"/>
    <d v="2026-08-01T00:00:00"/>
    <x v="2"/>
    <n v="91812.35"/>
    <n v="91.812350000000009"/>
  </r>
  <r>
    <x v="2"/>
    <x v="8"/>
    <d v="2026-08-01T00:00:00"/>
    <x v="5"/>
    <n v="74469.259999999995"/>
    <n v="74.469259999999991"/>
  </r>
  <r>
    <x v="2"/>
    <x v="8"/>
    <d v="2026-08-10T00:00:00"/>
    <x v="0"/>
    <n v="51894.67"/>
    <n v="51.894669999999998"/>
  </r>
  <r>
    <x v="2"/>
    <x v="8"/>
    <d v="2026-08-27T00:00:00"/>
    <x v="4"/>
    <n v="27922.54"/>
    <n v="27.922540000000001"/>
  </r>
  <r>
    <x v="2"/>
    <x v="8"/>
    <d v="2026-08-31T00:00:00"/>
    <x v="6"/>
    <n v="21727.52"/>
    <n v="21.727520000000002"/>
  </r>
  <r>
    <x v="2"/>
    <x v="8"/>
    <d v="2026-08-26T00:00:00"/>
    <x v="7"/>
    <n v="2245.36"/>
    <n v="2.2453600000000002"/>
  </r>
  <r>
    <x v="2"/>
    <x v="8"/>
    <d v="2026-08-01T00:00:00"/>
    <x v="8"/>
    <n v="0"/>
    <n v="0"/>
  </r>
  <r>
    <x v="2"/>
    <x v="9"/>
    <d v="2026-08-04T00:00:00"/>
    <x v="2"/>
    <n v="451608.74"/>
    <n v="451.60874000000001"/>
  </r>
  <r>
    <x v="2"/>
    <x v="9"/>
    <d v="2026-08-01T00:00:00"/>
    <x v="0"/>
    <n v="260909.73"/>
    <n v="260.90973000000002"/>
  </r>
  <r>
    <x v="2"/>
    <x v="9"/>
    <d v="2026-08-11T00:00:00"/>
    <x v="1"/>
    <n v="226155.59"/>
    <n v="226.15558999999999"/>
  </r>
  <r>
    <x v="2"/>
    <x v="9"/>
    <d v="2026-08-26T00:00:00"/>
    <x v="3"/>
    <n v="176106.37"/>
    <n v="176.10637"/>
  </r>
  <r>
    <x v="2"/>
    <x v="9"/>
    <d v="2026-08-14T00:00:00"/>
    <x v="5"/>
    <n v="128211.21"/>
    <n v="128.21120999999999"/>
  </r>
  <r>
    <x v="2"/>
    <x v="9"/>
    <d v="2026-08-31T00:00:00"/>
    <x v="4"/>
    <n v="62715.87"/>
    <n v="62.715870000000002"/>
  </r>
  <r>
    <x v="2"/>
    <x v="9"/>
    <d v="2026-08-31T00:00:00"/>
    <x v="6"/>
    <n v="57145.7"/>
    <n v="57.145699999999998"/>
  </r>
  <r>
    <x v="2"/>
    <x v="9"/>
    <d v="2026-08-31T00:00:00"/>
    <x v="7"/>
    <n v="7922.87"/>
    <n v="7.9228699999999996"/>
  </r>
  <r>
    <x v="2"/>
    <x v="9"/>
    <d v="2026-08-01T00:00:00"/>
    <x v="8"/>
    <n v="0"/>
    <n v="0"/>
  </r>
  <r>
    <x v="2"/>
    <x v="10"/>
    <d v="2026-08-02T00:00:00"/>
    <x v="2"/>
    <n v="306703.07"/>
    <n v="306.70307000000003"/>
  </r>
  <r>
    <x v="2"/>
    <x v="10"/>
    <d v="2026-08-02T00:00:00"/>
    <x v="0"/>
    <n v="173405.11"/>
    <n v="173.40510999999998"/>
  </r>
  <r>
    <x v="2"/>
    <x v="10"/>
    <d v="2026-08-05T00:00:00"/>
    <x v="1"/>
    <n v="126293.93"/>
    <n v="126.29392999999999"/>
  </r>
  <r>
    <x v="2"/>
    <x v="10"/>
    <d v="2026-08-29T00:00:00"/>
    <x v="3"/>
    <n v="118843.52"/>
    <n v="118.84352"/>
  </r>
  <r>
    <x v="2"/>
    <x v="10"/>
    <d v="2026-08-22T00:00:00"/>
    <x v="5"/>
    <n v="88778.3"/>
    <n v="88.778300000000002"/>
  </r>
  <r>
    <x v="2"/>
    <x v="10"/>
    <d v="2026-08-29T00:00:00"/>
    <x v="6"/>
    <n v="42024.55"/>
    <n v="42.024550000000005"/>
  </r>
  <r>
    <x v="2"/>
    <x v="10"/>
    <d v="2026-08-31T00:00:00"/>
    <x v="4"/>
    <n v="38910.870000000003"/>
    <n v="38.910870000000003"/>
  </r>
  <r>
    <x v="2"/>
    <x v="10"/>
    <d v="2026-08-30T00:00:00"/>
    <x v="7"/>
    <n v="5373.71"/>
    <n v="5.37371"/>
  </r>
  <r>
    <x v="2"/>
    <x v="10"/>
    <d v="2026-08-01T00:00:00"/>
    <x v="8"/>
    <n v="0"/>
    <n v="0"/>
  </r>
  <r>
    <x v="2"/>
    <x v="11"/>
    <d v="2026-08-01T00:00:00"/>
    <x v="2"/>
    <n v="380866.14"/>
    <n v="380.86614000000003"/>
  </r>
  <r>
    <x v="2"/>
    <x v="11"/>
    <d v="2026-08-01T00:00:00"/>
    <x v="0"/>
    <n v="215829.14"/>
    <n v="215.82914000000002"/>
  </r>
  <r>
    <x v="2"/>
    <x v="11"/>
    <d v="2026-08-29T00:00:00"/>
    <x v="1"/>
    <n v="159678.51"/>
    <n v="159.67851000000002"/>
  </r>
  <r>
    <x v="2"/>
    <x v="11"/>
    <d v="2026-08-28T00:00:00"/>
    <x v="3"/>
    <n v="153056.28"/>
    <n v="153.05627999999999"/>
  </r>
  <r>
    <x v="2"/>
    <x v="11"/>
    <d v="2026-08-28T00:00:00"/>
    <x v="5"/>
    <n v="107267.24"/>
    <n v="107.26724"/>
  </r>
  <r>
    <x v="2"/>
    <x v="11"/>
    <d v="2026-08-31T00:00:00"/>
    <x v="4"/>
    <n v="51686.83"/>
    <n v="51.68683"/>
  </r>
  <r>
    <x v="2"/>
    <x v="11"/>
    <d v="2026-08-31T00:00:00"/>
    <x v="6"/>
    <n v="49879.74"/>
    <n v="49.879739999999998"/>
  </r>
  <r>
    <x v="2"/>
    <x v="11"/>
    <d v="2026-08-29T00:00:00"/>
    <x v="7"/>
    <n v="6655.01"/>
    <n v="6.6550099999999999"/>
  </r>
  <r>
    <x v="2"/>
    <x v="11"/>
    <d v="2026-08-01T00:00:00"/>
    <x v="8"/>
    <n v="0"/>
    <n v="0"/>
  </r>
  <r>
    <x v="3"/>
    <x v="0"/>
    <d v="2026-09-20T00:00:00"/>
    <x v="3"/>
    <n v="229549.86"/>
    <n v="229.54986"/>
  </r>
  <r>
    <x v="3"/>
    <x v="0"/>
    <d v="2026-09-03T00:00:00"/>
    <x v="1"/>
    <n v="222209.53"/>
    <n v="222.20953"/>
  </r>
  <r>
    <x v="3"/>
    <x v="0"/>
    <d v="2026-09-01T00:00:00"/>
    <x v="0"/>
    <n v="191770.26"/>
    <n v="191.77026000000001"/>
  </r>
  <r>
    <x v="3"/>
    <x v="0"/>
    <d v="2026-09-03T00:00:00"/>
    <x v="2"/>
    <n v="167854.76"/>
    <n v="167.85476"/>
  </r>
  <r>
    <x v="3"/>
    <x v="0"/>
    <d v="2026-09-01T00:00:00"/>
    <x v="5"/>
    <n v="104642.12"/>
    <n v="104.64211999999999"/>
  </r>
  <r>
    <x v="3"/>
    <x v="0"/>
    <d v="2026-09-03T00:00:00"/>
    <x v="6"/>
    <n v="57267.49"/>
    <n v="57.267489999999995"/>
  </r>
  <r>
    <x v="3"/>
    <x v="0"/>
    <d v="2026-09-24T00:00:00"/>
    <x v="4"/>
    <n v="47906.41"/>
    <n v="47.906410000000001"/>
  </r>
  <r>
    <x v="3"/>
    <x v="0"/>
    <d v="2026-09-14T00:00:00"/>
    <x v="7"/>
    <n v="15026.42"/>
    <n v="15.02642"/>
  </r>
  <r>
    <x v="3"/>
    <x v="1"/>
    <d v="2026-09-29T00:00:00"/>
    <x v="3"/>
    <n v="232939.97"/>
    <n v="232.93996999999999"/>
  </r>
  <r>
    <x v="3"/>
    <x v="1"/>
    <d v="2026-09-24T00:00:00"/>
    <x v="0"/>
    <n v="203180.51"/>
    <n v="203.18051"/>
  </r>
  <r>
    <x v="3"/>
    <x v="1"/>
    <d v="2026-09-01T00:00:00"/>
    <x v="2"/>
    <n v="188383.68"/>
    <n v="188.38368"/>
  </r>
  <r>
    <x v="3"/>
    <x v="1"/>
    <d v="2026-09-20T00:00:00"/>
    <x v="7"/>
    <n v="141001.54"/>
    <n v="141.00154000000001"/>
  </r>
  <r>
    <x v="3"/>
    <x v="1"/>
    <d v="2026-09-01T00:00:00"/>
    <x v="5"/>
    <n v="114848.23"/>
    <n v="114.84823"/>
  </r>
  <r>
    <x v="3"/>
    <x v="1"/>
    <d v="2026-09-21T00:00:00"/>
    <x v="4"/>
    <n v="67501.2"/>
    <n v="67.501199999999997"/>
  </r>
  <r>
    <x v="3"/>
    <x v="1"/>
    <d v="2026-09-01T00:00:00"/>
    <x v="6"/>
    <n v="43244.66"/>
    <n v="43.244660000000003"/>
  </r>
  <r>
    <x v="3"/>
    <x v="1"/>
    <d v="2026-09-29T00:00:00"/>
    <x v="1"/>
    <n v="14146.39"/>
    <n v="14.14639"/>
  </r>
  <r>
    <x v="3"/>
    <x v="1"/>
    <d v="2026-09-01T00:00:00"/>
    <x v="8"/>
    <n v="0"/>
    <n v="0"/>
  </r>
  <r>
    <x v="3"/>
    <x v="2"/>
    <d v="2026-09-24T00:00:00"/>
    <x v="3"/>
    <n v="442200.69"/>
    <n v="442.20069000000001"/>
  </r>
  <r>
    <x v="3"/>
    <x v="2"/>
    <d v="2026-09-24T00:00:00"/>
    <x v="0"/>
    <n v="261843.09"/>
    <n v="261.84309000000002"/>
  </r>
  <r>
    <x v="3"/>
    <x v="2"/>
    <d v="2026-09-04T00:00:00"/>
    <x v="2"/>
    <n v="256686.15"/>
    <n v="256.68615"/>
  </r>
  <r>
    <x v="3"/>
    <x v="2"/>
    <d v="2026-09-04T00:00:00"/>
    <x v="1"/>
    <n v="154476.32999999999"/>
    <n v="154.47632999999999"/>
  </r>
  <r>
    <x v="3"/>
    <x v="2"/>
    <d v="2026-09-01T00:00:00"/>
    <x v="5"/>
    <n v="84517.16"/>
    <n v="84.517160000000004"/>
  </r>
  <r>
    <x v="3"/>
    <x v="2"/>
    <d v="2026-09-01T00:00:00"/>
    <x v="6"/>
    <n v="51401.15"/>
    <n v="51.401150000000001"/>
  </r>
  <r>
    <x v="3"/>
    <x v="2"/>
    <d v="2026-09-24T00:00:00"/>
    <x v="4"/>
    <n v="40025.57"/>
    <n v="40.025570000000002"/>
  </r>
  <r>
    <x v="3"/>
    <x v="2"/>
    <d v="2026-09-20T00:00:00"/>
    <x v="7"/>
    <n v="7881.96"/>
    <n v="7.8819600000000003"/>
  </r>
  <r>
    <x v="3"/>
    <x v="2"/>
    <d v="2026-09-01T00:00:00"/>
    <x v="8"/>
    <n v="0"/>
    <n v="0"/>
  </r>
  <r>
    <x v="3"/>
    <x v="3"/>
    <d v="2026-09-01T00:00:00"/>
    <x v="5"/>
    <n v="285289.06"/>
    <n v="285.28906000000001"/>
  </r>
  <r>
    <x v="3"/>
    <x v="3"/>
    <d v="2026-09-05T00:00:00"/>
    <x v="2"/>
    <n v="109999.41"/>
    <n v="109.99941"/>
  </r>
  <r>
    <x v="3"/>
    <x v="3"/>
    <d v="2026-09-04T00:00:00"/>
    <x v="0"/>
    <n v="68012.53"/>
    <n v="68.012529999999998"/>
  </r>
  <r>
    <x v="3"/>
    <x v="3"/>
    <d v="2026-09-05T00:00:00"/>
    <x v="1"/>
    <n v="52495.66"/>
    <n v="52.495660000000001"/>
  </r>
  <r>
    <x v="3"/>
    <x v="3"/>
    <d v="2026-09-04T00:00:00"/>
    <x v="6"/>
    <n v="29835.200000000001"/>
    <n v="29.8352"/>
  </r>
  <r>
    <x v="3"/>
    <x v="3"/>
    <d v="2026-09-11T00:00:00"/>
    <x v="3"/>
    <n v="23477.48"/>
    <n v="23.47748"/>
  </r>
  <r>
    <x v="3"/>
    <x v="3"/>
    <d v="2026-09-11T00:00:00"/>
    <x v="4"/>
    <n v="22927.39"/>
    <n v="22.927389999999999"/>
  </r>
  <r>
    <x v="3"/>
    <x v="3"/>
    <d v="2026-09-26T00:00:00"/>
    <x v="7"/>
    <n v="5601.22"/>
    <n v="5.6012200000000005"/>
  </r>
  <r>
    <x v="3"/>
    <x v="3"/>
    <d v="2026-09-01T00:00:00"/>
    <x v="8"/>
    <n v="0"/>
    <n v="0"/>
  </r>
  <r>
    <x v="3"/>
    <x v="4"/>
    <d v="2026-09-01T00:00:00"/>
    <x v="5"/>
    <n v="726788.45"/>
    <n v="726.7884499999999"/>
  </r>
  <r>
    <x v="3"/>
    <x v="4"/>
    <d v="2026-09-01T00:00:00"/>
    <x v="2"/>
    <n v="288497.65999999997"/>
    <n v="288.49766"/>
  </r>
  <r>
    <x v="3"/>
    <x v="4"/>
    <d v="2026-09-03T00:00:00"/>
    <x v="0"/>
    <n v="169453.63"/>
    <n v="169.45363"/>
  </r>
  <r>
    <x v="3"/>
    <x v="4"/>
    <d v="2026-09-01T00:00:00"/>
    <x v="1"/>
    <n v="134410.16"/>
    <n v="134.41015999999999"/>
  </r>
  <r>
    <x v="3"/>
    <x v="4"/>
    <d v="2026-09-01T00:00:00"/>
    <x v="6"/>
    <n v="81809.119999999995"/>
    <n v="81.809119999999993"/>
  </r>
  <r>
    <x v="3"/>
    <x v="4"/>
    <d v="2026-09-22T00:00:00"/>
    <x v="4"/>
    <n v="65387.06"/>
    <n v="65.387059999999991"/>
  </r>
  <r>
    <x v="3"/>
    <x v="4"/>
    <d v="2026-09-24T00:00:00"/>
    <x v="3"/>
    <n v="61961.89"/>
    <n v="61.961889999999997"/>
  </r>
  <r>
    <x v="3"/>
    <x v="4"/>
    <d v="2026-09-30T00:00:00"/>
    <x v="7"/>
    <n v="14121.84"/>
    <n v="14.121840000000001"/>
  </r>
  <r>
    <x v="3"/>
    <x v="4"/>
    <d v="2026-09-01T00:00:00"/>
    <x v="8"/>
    <n v="0"/>
    <n v="0"/>
  </r>
  <r>
    <x v="3"/>
    <x v="5"/>
    <d v="2026-09-23T00:00:00"/>
    <x v="1"/>
    <n v="60475.08"/>
    <n v="60.475079999999998"/>
  </r>
  <r>
    <x v="3"/>
    <x v="5"/>
    <d v="2026-09-11T00:00:00"/>
    <x v="2"/>
    <n v="47366.15"/>
    <n v="47.366150000000005"/>
  </r>
  <r>
    <x v="3"/>
    <x v="5"/>
    <d v="2026-09-11T00:00:00"/>
    <x v="3"/>
    <n v="43624.25"/>
    <n v="43.624250000000004"/>
  </r>
  <r>
    <x v="3"/>
    <x v="5"/>
    <d v="2026-09-01T00:00:00"/>
    <x v="5"/>
    <n v="41335.839999999997"/>
    <n v="41.335839999999997"/>
  </r>
  <r>
    <x v="3"/>
    <x v="5"/>
    <d v="2026-09-29T00:00:00"/>
    <x v="0"/>
    <n v="33321.33"/>
    <n v="33.321330000000003"/>
  </r>
  <r>
    <x v="3"/>
    <x v="5"/>
    <d v="2026-09-11T00:00:00"/>
    <x v="4"/>
    <n v="23620.65"/>
    <n v="23.620650000000001"/>
  </r>
  <r>
    <x v="3"/>
    <x v="5"/>
    <d v="2026-09-01T00:00:00"/>
    <x v="6"/>
    <n v="10292.39"/>
    <n v="10.292389999999999"/>
  </r>
  <r>
    <x v="3"/>
    <x v="5"/>
    <d v="2026-09-01T00:00:00"/>
    <x v="8"/>
    <n v="0"/>
    <n v="0"/>
  </r>
  <r>
    <x v="3"/>
    <x v="5"/>
    <d v="2026-09-01T00:00:00"/>
    <x v="7"/>
    <n v="0"/>
    <n v="0"/>
  </r>
  <r>
    <x v="3"/>
    <x v="6"/>
    <d v="2026-09-06T00:00:00"/>
    <x v="2"/>
    <n v="330392.40000000002"/>
    <n v="330.39240000000001"/>
  </r>
  <r>
    <x v="3"/>
    <x v="6"/>
    <d v="2026-09-28T00:00:00"/>
    <x v="3"/>
    <n v="148768.13"/>
    <n v="148.76813000000001"/>
  </r>
  <r>
    <x v="3"/>
    <x v="6"/>
    <d v="2026-09-02T00:00:00"/>
    <x v="0"/>
    <n v="135088.17000000001"/>
    <n v="135.08817000000002"/>
  </r>
  <r>
    <x v="3"/>
    <x v="6"/>
    <d v="2026-09-04T00:00:00"/>
    <x v="1"/>
    <n v="98401.22"/>
    <n v="98.401219999999995"/>
  </r>
  <r>
    <x v="3"/>
    <x v="6"/>
    <d v="2026-09-01T00:00:00"/>
    <x v="5"/>
    <n v="71345.210000000006"/>
    <n v="71.345210000000009"/>
  </r>
  <r>
    <x v="3"/>
    <x v="6"/>
    <d v="2026-09-23T00:00:00"/>
    <x v="4"/>
    <n v="53031.99"/>
    <n v="53.03199"/>
  </r>
  <r>
    <x v="3"/>
    <x v="6"/>
    <d v="2026-09-01T00:00:00"/>
    <x v="6"/>
    <n v="52164.37"/>
    <n v="52.164370000000005"/>
  </r>
  <r>
    <x v="3"/>
    <x v="6"/>
    <d v="2026-09-28T00:00:00"/>
    <x v="7"/>
    <n v="3484.07"/>
    <n v="3.48407"/>
  </r>
  <r>
    <x v="3"/>
    <x v="6"/>
    <d v="2026-09-01T00:00:00"/>
    <x v="8"/>
    <n v="0"/>
    <n v="0"/>
  </r>
  <r>
    <x v="3"/>
    <x v="7"/>
    <d v="2026-09-04T00:00:00"/>
    <x v="2"/>
    <n v="219693.94"/>
    <n v="219.69394"/>
  </r>
  <r>
    <x v="3"/>
    <x v="7"/>
    <d v="2026-09-26T00:00:00"/>
    <x v="3"/>
    <n v="97620.18"/>
    <n v="97.620179999999991"/>
  </r>
  <r>
    <x v="3"/>
    <x v="7"/>
    <d v="2026-09-03T00:00:00"/>
    <x v="0"/>
    <n v="88899.37"/>
    <n v="88.89936999999999"/>
  </r>
  <r>
    <x v="3"/>
    <x v="7"/>
    <d v="2026-09-03T00:00:00"/>
    <x v="1"/>
    <n v="66190.679999999993"/>
    <n v="66.190679999999986"/>
  </r>
  <r>
    <x v="3"/>
    <x v="7"/>
    <d v="2026-09-01T00:00:00"/>
    <x v="5"/>
    <n v="47797.66"/>
    <n v="47.79766"/>
  </r>
  <r>
    <x v="3"/>
    <x v="7"/>
    <d v="2026-09-30T00:00:00"/>
    <x v="4"/>
    <n v="37718"/>
    <n v="37.718000000000004"/>
  </r>
  <r>
    <x v="3"/>
    <x v="7"/>
    <d v="2026-09-04T00:00:00"/>
    <x v="6"/>
    <n v="33550.85"/>
    <n v="33.550849999999997"/>
  </r>
  <r>
    <x v="3"/>
    <x v="7"/>
    <d v="2026-09-26T00:00:00"/>
    <x v="7"/>
    <n v="2306.15"/>
    <n v="2.3061500000000001"/>
  </r>
  <r>
    <x v="3"/>
    <x v="7"/>
    <d v="2026-09-01T00:00:00"/>
    <x v="8"/>
    <n v="0"/>
    <n v="0"/>
  </r>
  <r>
    <x v="3"/>
    <x v="8"/>
    <d v="2026-09-30T00:00:00"/>
    <x v="1"/>
    <n v="132885"/>
    <n v="132.88499999999999"/>
  </r>
  <r>
    <x v="3"/>
    <x v="8"/>
    <d v="2026-09-26T00:00:00"/>
    <x v="3"/>
    <n v="122387.93"/>
    <n v="122.38793"/>
  </r>
  <r>
    <x v="3"/>
    <x v="8"/>
    <d v="2026-09-02T00:00:00"/>
    <x v="2"/>
    <n v="77892.47"/>
    <n v="77.892470000000003"/>
  </r>
  <r>
    <x v="3"/>
    <x v="8"/>
    <d v="2026-09-02T00:00:00"/>
    <x v="5"/>
    <n v="72856.72"/>
    <n v="72.856719999999996"/>
  </r>
  <r>
    <x v="3"/>
    <x v="8"/>
    <d v="2026-09-30T00:00:00"/>
    <x v="0"/>
    <n v="49740.09"/>
    <n v="49.740089999999995"/>
  </r>
  <r>
    <x v="3"/>
    <x v="8"/>
    <d v="2026-09-30T00:00:00"/>
    <x v="4"/>
    <n v="28666.34"/>
    <n v="28.666340000000002"/>
  </r>
  <r>
    <x v="3"/>
    <x v="8"/>
    <d v="2026-09-02T00:00:00"/>
    <x v="6"/>
    <n v="22110.959999999999"/>
    <n v="22.110959999999999"/>
  </r>
  <r>
    <x v="3"/>
    <x v="8"/>
    <d v="2026-09-30T00:00:00"/>
    <x v="7"/>
    <n v="2875.15"/>
    <n v="2.8751500000000001"/>
  </r>
  <r>
    <x v="3"/>
    <x v="8"/>
    <d v="2026-09-01T00:00:00"/>
    <x v="8"/>
    <n v="0"/>
    <n v="0"/>
  </r>
  <r>
    <x v="3"/>
    <x v="9"/>
    <d v="2026-09-03T00:00:00"/>
    <x v="2"/>
    <n v="381435.85"/>
    <n v="381.43584999999996"/>
  </r>
  <r>
    <x v="3"/>
    <x v="9"/>
    <d v="2026-09-26T00:00:00"/>
    <x v="3"/>
    <n v="230196.76"/>
    <n v="230.19676000000001"/>
  </r>
  <r>
    <x v="3"/>
    <x v="9"/>
    <d v="2026-09-01T00:00:00"/>
    <x v="1"/>
    <n v="224010.44"/>
    <n v="224.01043999999999"/>
  </r>
  <r>
    <x v="3"/>
    <x v="9"/>
    <d v="2026-09-03T00:00:00"/>
    <x v="0"/>
    <n v="207415.46"/>
    <n v="207.41546"/>
  </r>
  <r>
    <x v="3"/>
    <x v="9"/>
    <d v="2026-09-01T00:00:00"/>
    <x v="5"/>
    <n v="127783.42"/>
    <n v="127.78341999999999"/>
  </r>
  <r>
    <x v="3"/>
    <x v="9"/>
    <d v="2026-09-26T00:00:00"/>
    <x v="4"/>
    <n v="69158.13"/>
    <n v="69.15813"/>
  </r>
  <r>
    <x v="3"/>
    <x v="9"/>
    <d v="2026-09-03T00:00:00"/>
    <x v="6"/>
    <n v="60644.4"/>
    <n v="60.644400000000005"/>
  </r>
  <r>
    <x v="3"/>
    <x v="9"/>
    <d v="2026-09-20T00:00:00"/>
    <x v="7"/>
    <n v="8657.27"/>
    <n v="8.6572700000000005"/>
  </r>
  <r>
    <x v="3"/>
    <x v="9"/>
    <d v="2026-09-01T00:00:00"/>
    <x v="8"/>
    <n v="0"/>
    <n v="0"/>
  </r>
  <r>
    <x v="3"/>
    <x v="10"/>
    <d v="2026-09-11T00:00:00"/>
    <x v="2"/>
    <n v="255915.06"/>
    <n v="255.91506000000001"/>
  </r>
  <r>
    <x v="3"/>
    <x v="10"/>
    <d v="2026-09-23T00:00:00"/>
    <x v="3"/>
    <n v="156881.39000000001"/>
    <n v="156.88139000000001"/>
  </r>
  <r>
    <x v="3"/>
    <x v="10"/>
    <d v="2026-09-02T00:00:00"/>
    <x v="0"/>
    <n v="135266.25"/>
    <n v="135.26625000000001"/>
  </r>
  <r>
    <x v="3"/>
    <x v="10"/>
    <d v="2026-09-01T00:00:00"/>
    <x v="1"/>
    <n v="124856.43"/>
    <n v="124.85642999999999"/>
  </r>
  <r>
    <x v="3"/>
    <x v="10"/>
    <d v="2026-09-02T00:00:00"/>
    <x v="5"/>
    <n v="88146.21"/>
    <n v="88.146210000000011"/>
  </r>
  <r>
    <x v="3"/>
    <x v="10"/>
    <d v="2026-09-27T00:00:00"/>
    <x v="4"/>
    <n v="42533.1"/>
    <n v="42.533099999999997"/>
  </r>
  <r>
    <x v="3"/>
    <x v="10"/>
    <d v="2026-09-02T00:00:00"/>
    <x v="6"/>
    <n v="39659.74"/>
    <n v="39.659739999999999"/>
  </r>
  <r>
    <x v="3"/>
    <x v="10"/>
    <d v="2026-09-18T00:00:00"/>
    <x v="7"/>
    <n v="5941.31"/>
    <n v="5.9413100000000005"/>
  </r>
  <r>
    <x v="3"/>
    <x v="10"/>
    <d v="2026-09-01T00:00:00"/>
    <x v="8"/>
    <n v="0"/>
    <n v="0"/>
  </r>
  <r>
    <x v="3"/>
    <x v="11"/>
    <d v="2026-09-03T00:00:00"/>
    <x v="2"/>
    <n v="320282.7"/>
    <n v="320.28270000000003"/>
  </r>
  <r>
    <x v="3"/>
    <x v="11"/>
    <d v="2026-09-24T00:00:00"/>
    <x v="3"/>
    <n v="207876.45"/>
    <n v="207.87645000000001"/>
  </r>
  <r>
    <x v="3"/>
    <x v="11"/>
    <d v="2026-09-03T00:00:00"/>
    <x v="0"/>
    <n v="166210.93"/>
    <n v="166.21092999999999"/>
  </r>
  <r>
    <x v="3"/>
    <x v="11"/>
    <d v="2026-09-01T00:00:00"/>
    <x v="1"/>
    <n v="160573.19"/>
    <n v="160.57319000000001"/>
  </r>
  <r>
    <x v="3"/>
    <x v="11"/>
    <d v="2026-09-01T00:00:00"/>
    <x v="5"/>
    <n v="106350.18"/>
    <n v="106.35017999999999"/>
  </r>
  <r>
    <x v="3"/>
    <x v="11"/>
    <d v="2026-09-24T00:00:00"/>
    <x v="4"/>
    <n v="55949.37"/>
    <n v="55.949370000000002"/>
  </r>
  <r>
    <x v="3"/>
    <x v="11"/>
    <d v="2026-09-03T00:00:00"/>
    <x v="6"/>
    <n v="49996.34"/>
    <n v="49.996339999999996"/>
  </r>
  <r>
    <x v="3"/>
    <x v="11"/>
    <d v="2026-09-19T00:00:00"/>
    <x v="7"/>
    <n v="7407.18"/>
    <n v="7.4071800000000003"/>
  </r>
  <r>
    <x v="3"/>
    <x v="11"/>
    <d v="2026-09-01T00:00:00"/>
    <x v="8"/>
    <n v="0"/>
    <n v="0"/>
  </r>
  <r>
    <x v="4"/>
    <x v="0"/>
    <d v="2026-10-25T00:00:00"/>
    <x v="1"/>
    <n v="296541.86"/>
    <n v="296.54185999999999"/>
  </r>
  <r>
    <x v="4"/>
    <x v="0"/>
    <d v="2026-10-22T00:00:00"/>
    <x v="3"/>
    <n v="217235.25"/>
    <n v="217.23525000000001"/>
  </r>
  <r>
    <x v="4"/>
    <x v="0"/>
    <d v="2026-10-22T00:00:00"/>
    <x v="0"/>
    <n v="199177.14"/>
    <n v="199.17714000000001"/>
  </r>
  <r>
    <x v="4"/>
    <x v="0"/>
    <d v="2026-10-26T00:00:00"/>
    <x v="2"/>
    <n v="183710.33"/>
    <n v="183.71033"/>
  </r>
  <r>
    <x v="4"/>
    <x v="0"/>
    <d v="2026-10-02T00:00:00"/>
    <x v="5"/>
    <n v="98464.48"/>
    <n v="98.464479999999995"/>
  </r>
  <r>
    <x v="4"/>
    <x v="0"/>
    <d v="2026-10-20T00:00:00"/>
    <x v="4"/>
    <n v="83123.41"/>
    <n v="83.123410000000007"/>
  </r>
  <r>
    <x v="4"/>
    <x v="0"/>
    <d v="2026-10-25T00:00:00"/>
    <x v="6"/>
    <n v="45106.73"/>
    <n v="45.106730000000006"/>
  </r>
  <r>
    <x v="4"/>
    <x v="0"/>
    <d v="2026-10-03T00:00:00"/>
    <x v="7"/>
    <n v="13780.55"/>
    <n v="13.78055"/>
  </r>
  <r>
    <x v="4"/>
    <x v="1"/>
    <d v="2026-10-21T00:00:00"/>
    <x v="3"/>
    <n v="267607.69"/>
    <n v="267.60768999999999"/>
  </r>
  <r>
    <x v="4"/>
    <x v="1"/>
    <d v="2026-10-21T00:00:00"/>
    <x v="0"/>
    <n v="248412.97"/>
    <n v="248.41297"/>
  </r>
  <r>
    <x v="4"/>
    <x v="1"/>
    <d v="2026-10-24T00:00:00"/>
    <x v="2"/>
    <n v="198997.21"/>
    <n v="198.99721"/>
  </r>
  <r>
    <x v="4"/>
    <x v="1"/>
    <d v="2026-10-03T00:00:00"/>
    <x v="7"/>
    <n v="136166.34"/>
    <n v="136.16633999999999"/>
  </r>
  <r>
    <x v="4"/>
    <x v="1"/>
    <d v="2026-10-04T00:00:00"/>
    <x v="5"/>
    <n v="107995.88"/>
    <n v="107.99588"/>
  </r>
  <r>
    <x v="4"/>
    <x v="1"/>
    <d v="2026-10-19T00:00:00"/>
    <x v="4"/>
    <n v="81786.149999999994"/>
    <n v="81.786149999999992"/>
  </r>
  <r>
    <x v="4"/>
    <x v="1"/>
    <d v="2026-10-31T00:00:00"/>
    <x v="6"/>
    <n v="30484.85"/>
    <n v="30.484849999999998"/>
  </r>
  <r>
    <x v="4"/>
    <x v="1"/>
    <d v="2026-10-21T00:00:00"/>
    <x v="1"/>
    <n v="19131.060000000001"/>
    <n v="19.131060000000002"/>
  </r>
  <r>
    <x v="4"/>
    <x v="1"/>
    <d v="2026-10-01T00:00:00"/>
    <x v="8"/>
    <n v="0"/>
    <n v="0"/>
  </r>
  <r>
    <x v="4"/>
    <x v="2"/>
    <d v="2026-10-21T00:00:00"/>
    <x v="3"/>
    <n v="480989.94"/>
    <n v="480.98993999999999"/>
  </r>
  <r>
    <x v="4"/>
    <x v="2"/>
    <d v="2026-10-30T00:00:00"/>
    <x v="2"/>
    <n v="305222.21000000002"/>
    <n v="305.22221000000002"/>
  </r>
  <r>
    <x v="4"/>
    <x v="2"/>
    <d v="2026-10-21T00:00:00"/>
    <x v="0"/>
    <n v="300506.13"/>
    <n v="300.50612999999998"/>
  </r>
  <r>
    <x v="4"/>
    <x v="2"/>
    <d v="2026-10-31T00:00:00"/>
    <x v="1"/>
    <n v="237814.37"/>
    <n v="237.81437"/>
  </r>
  <r>
    <x v="4"/>
    <x v="2"/>
    <d v="2026-10-21T00:00:00"/>
    <x v="4"/>
    <n v="81641.27"/>
    <n v="81.641270000000006"/>
  </r>
  <r>
    <x v="4"/>
    <x v="2"/>
    <d v="2026-10-01T00:00:00"/>
    <x v="5"/>
    <n v="79680.31"/>
    <n v="79.680309999999992"/>
  </r>
  <r>
    <x v="4"/>
    <x v="2"/>
    <d v="2026-10-25T00:00:00"/>
    <x v="6"/>
    <n v="33586.26"/>
    <n v="33.586260000000003"/>
  </r>
  <r>
    <x v="4"/>
    <x v="2"/>
    <d v="2026-10-10T00:00:00"/>
    <x v="7"/>
    <n v="8118.48"/>
    <n v="8.1184799999999999"/>
  </r>
  <r>
    <x v="4"/>
    <x v="2"/>
    <d v="2026-10-01T00:00:00"/>
    <x v="8"/>
    <n v="0"/>
    <n v="0"/>
  </r>
  <r>
    <x v="4"/>
    <x v="3"/>
    <d v="2026-10-27T00:00:00"/>
    <x v="5"/>
    <n v="283930.33"/>
    <n v="283.93033000000003"/>
  </r>
  <r>
    <x v="4"/>
    <x v="3"/>
    <d v="2026-10-27T00:00:00"/>
    <x v="2"/>
    <n v="132189.75"/>
    <n v="132.18975"/>
  </r>
  <r>
    <x v="4"/>
    <x v="3"/>
    <d v="2026-10-27T00:00:00"/>
    <x v="1"/>
    <n v="126589.77"/>
    <n v="126.58977"/>
  </r>
  <r>
    <x v="4"/>
    <x v="3"/>
    <d v="2026-10-26T00:00:00"/>
    <x v="0"/>
    <n v="112529.26"/>
    <n v="112.52925999999999"/>
  </r>
  <r>
    <x v="4"/>
    <x v="3"/>
    <d v="2026-10-26T00:00:00"/>
    <x v="3"/>
    <n v="44240.22"/>
    <n v="44.240220000000001"/>
  </r>
  <r>
    <x v="4"/>
    <x v="3"/>
    <d v="2026-10-26T00:00:00"/>
    <x v="4"/>
    <n v="44125.120000000003"/>
    <n v="44.125120000000003"/>
  </r>
  <r>
    <x v="4"/>
    <x v="3"/>
    <d v="2026-10-27T00:00:00"/>
    <x v="6"/>
    <n v="29784.65"/>
    <n v="29.784650000000003"/>
  </r>
  <r>
    <x v="4"/>
    <x v="3"/>
    <d v="2026-10-26T00:00:00"/>
    <x v="7"/>
    <n v="5723.87"/>
    <n v="5.7238699999999998"/>
  </r>
  <r>
    <x v="4"/>
    <x v="3"/>
    <d v="2026-10-01T00:00:00"/>
    <x v="8"/>
    <n v="0"/>
    <n v="0"/>
  </r>
  <r>
    <x v="4"/>
    <x v="4"/>
    <d v="2026-10-06T00:00:00"/>
    <x v="5"/>
    <n v="685443.43"/>
    <n v="685.44343000000003"/>
  </r>
  <r>
    <x v="4"/>
    <x v="4"/>
    <d v="2026-10-02T00:00:00"/>
    <x v="2"/>
    <n v="252205.7"/>
    <n v="252.20570000000001"/>
  </r>
  <r>
    <x v="4"/>
    <x v="4"/>
    <d v="2026-10-23T00:00:00"/>
    <x v="1"/>
    <n v="199400.54"/>
    <n v="199.40054000000001"/>
  </r>
  <r>
    <x v="4"/>
    <x v="4"/>
    <d v="2026-10-24T00:00:00"/>
    <x v="0"/>
    <n v="170107.58"/>
    <n v="170.10757999999998"/>
  </r>
  <r>
    <x v="4"/>
    <x v="4"/>
    <d v="2026-10-19T00:00:00"/>
    <x v="4"/>
    <n v="65156.47"/>
    <n v="65.156469999999999"/>
  </r>
  <r>
    <x v="4"/>
    <x v="4"/>
    <d v="2026-10-19T00:00:00"/>
    <x v="3"/>
    <n v="56326.68"/>
    <n v="56.326680000000003"/>
  </r>
  <r>
    <x v="4"/>
    <x v="4"/>
    <d v="2026-10-30T00:00:00"/>
    <x v="6"/>
    <n v="47060.43"/>
    <n v="47.060430000000004"/>
  </r>
  <r>
    <x v="4"/>
    <x v="4"/>
    <d v="2026-10-07T00:00:00"/>
    <x v="7"/>
    <n v="14241.62"/>
    <n v="14.241620000000001"/>
  </r>
  <r>
    <x v="4"/>
    <x v="4"/>
    <d v="2026-10-01T00:00:00"/>
    <x v="8"/>
    <n v="0"/>
    <n v="0"/>
  </r>
  <r>
    <x v="4"/>
    <x v="5"/>
    <d v="2026-10-23T00:00:00"/>
    <x v="1"/>
    <n v="89827.64"/>
    <n v="89.827640000000002"/>
  </r>
  <r>
    <x v="4"/>
    <x v="5"/>
    <d v="2026-10-22T00:00:00"/>
    <x v="3"/>
    <n v="70511.77"/>
    <n v="70.511769999999999"/>
  </r>
  <r>
    <x v="4"/>
    <x v="5"/>
    <d v="2026-10-25T00:00:00"/>
    <x v="2"/>
    <n v="48881.48"/>
    <n v="48.881480000000003"/>
  </r>
  <r>
    <x v="4"/>
    <x v="5"/>
    <d v="2026-10-21T00:00:00"/>
    <x v="0"/>
    <n v="44186.23"/>
    <n v="44.186230000000002"/>
  </r>
  <r>
    <x v="4"/>
    <x v="5"/>
    <d v="2026-10-05T00:00:00"/>
    <x v="5"/>
    <n v="40806.949999999997"/>
    <n v="40.806950000000001"/>
  </r>
  <r>
    <x v="4"/>
    <x v="5"/>
    <d v="2026-10-23T00:00:00"/>
    <x v="4"/>
    <n v="31179.74"/>
    <n v="31.179740000000002"/>
  </r>
  <r>
    <x v="4"/>
    <x v="5"/>
    <d v="2026-10-25T00:00:00"/>
    <x v="6"/>
    <n v="8592.89"/>
    <n v="8.5928899999999988"/>
  </r>
  <r>
    <x v="4"/>
    <x v="5"/>
    <d v="2026-10-01T00:00:00"/>
    <x v="8"/>
    <n v="0"/>
    <n v="0"/>
  </r>
  <r>
    <x v="4"/>
    <x v="5"/>
    <d v="2026-10-01T00:00:00"/>
    <x v="7"/>
    <n v="0"/>
    <n v="0"/>
  </r>
  <r>
    <x v="4"/>
    <x v="6"/>
    <d v="2026-10-27T00:00:00"/>
    <x v="2"/>
    <n v="331924.92"/>
    <n v="331.92491999999999"/>
  </r>
  <r>
    <x v="4"/>
    <x v="6"/>
    <d v="2026-10-27T00:00:00"/>
    <x v="3"/>
    <n v="152469.56"/>
    <n v="152.46956"/>
  </r>
  <r>
    <x v="4"/>
    <x v="6"/>
    <d v="2026-10-22T00:00:00"/>
    <x v="0"/>
    <n v="142394.91"/>
    <n v="142.39491000000001"/>
  </r>
  <r>
    <x v="4"/>
    <x v="6"/>
    <d v="2026-10-29T00:00:00"/>
    <x v="1"/>
    <n v="103566.63"/>
    <n v="103.56663"/>
  </r>
  <r>
    <x v="4"/>
    <x v="6"/>
    <d v="2026-10-22T00:00:00"/>
    <x v="4"/>
    <n v="73475.100000000006"/>
    <n v="73.475100000000012"/>
  </r>
  <r>
    <x v="4"/>
    <x v="6"/>
    <d v="2026-10-01T00:00:00"/>
    <x v="5"/>
    <n v="66242.64"/>
    <n v="66.242639999999994"/>
  </r>
  <r>
    <x v="4"/>
    <x v="6"/>
    <d v="2026-10-27T00:00:00"/>
    <x v="6"/>
    <n v="53814.8"/>
    <n v="53.814800000000005"/>
  </r>
  <r>
    <x v="4"/>
    <x v="6"/>
    <d v="2026-10-20T00:00:00"/>
    <x v="7"/>
    <n v="3739.64"/>
    <n v="3.7396400000000001"/>
  </r>
  <r>
    <x v="4"/>
    <x v="6"/>
    <d v="2026-10-01T00:00:00"/>
    <x v="8"/>
    <n v="0"/>
    <n v="0"/>
  </r>
  <r>
    <x v="4"/>
    <x v="7"/>
    <d v="2026-10-20T00:00:00"/>
    <x v="2"/>
    <n v="218876.79999999999"/>
    <n v="218.87679999999997"/>
  </r>
  <r>
    <x v="4"/>
    <x v="7"/>
    <d v="2026-10-21T00:00:00"/>
    <x v="3"/>
    <n v="111142.06"/>
    <n v="111.14206"/>
  </r>
  <r>
    <x v="4"/>
    <x v="7"/>
    <d v="2026-10-01T00:00:00"/>
    <x v="0"/>
    <n v="85979.06"/>
    <n v="85.979060000000004"/>
  </r>
  <r>
    <x v="4"/>
    <x v="7"/>
    <d v="2026-10-26T00:00:00"/>
    <x v="1"/>
    <n v="65299.79"/>
    <n v="65.299790000000002"/>
  </r>
  <r>
    <x v="4"/>
    <x v="7"/>
    <d v="2026-10-21T00:00:00"/>
    <x v="4"/>
    <n v="47484.91"/>
    <n v="47.484910000000006"/>
  </r>
  <r>
    <x v="4"/>
    <x v="7"/>
    <d v="2026-10-01T00:00:00"/>
    <x v="5"/>
    <n v="44934.1"/>
    <n v="44.934100000000001"/>
  </r>
  <r>
    <x v="4"/>
    <x v="7"/>
    <d v="2026-10-28T00:00:00"/>
    <x v="6"/>
    <n v="38450.370000000003"/>
    <n v="38.450369999999999"/>
  </r>
  <r>
    <x v="4"/>
    <x v="7"/>
    <d v="2026-10-21T00:00:00"/>
    <x v="7"/>
    <n v="2508.33"/>
    <n v="2.5083299999999999"/>
  </r>
  <r>
    <x v="4"/>
    <x v="7"/>
    <d v="2026-10-01T00:00:00"/>
    <x v="8"/>
    <n v="0"/>
    <n v="0"/>
  </r>
  <r>
    <x v="4"/>
    <x v="8"/>
    <d v="2026-10-24T00:00:00"/>
    <x v="1"/>
    <n v="259644.95"/>
    <n v="259.64494999999999"/>
  </r>
  <r>
    <x v="4"/>
    <x v="8"/>
    <d v="2026-10-24T00:00:00"/>
    <x v="3"/>
    <n v="199153.35"/>
    <n v="199.15335000000002"/>
  </r>
  <r>
    <x v="4"/>
    <x v="8"/>
    <d v="2026-10-24T00:00:00"/>
    <x v="2"/>
    <n v="90841.1"/>
    <n v="90.841100000000012"/>
  </r>
  <r>
    <x v="4"/>
    <x v="8"/>
    <d v="2026-10-24T00:00:00"/>
    <x v="0"/>
    <n v="90168.45"/>
    <n v="90.168449999999993"/>
  </r>
  <r>
    <x v="4"/>
    <x v="8"/>
    <d v="2026-10-01T00:00:00"/>
    <x v="5"/>
    <n v="70576.259999999995"/>
    <n v="70.576259999999991"/>
  </r>
  <r>
    <x v="4"/>
    <x v="8"/>
    <d v="2026-10-24T00:00:00"/>
    <x v="4"/>
    <n v="41588.89"/>
    <n v="41.588889999999999"/>
  </r>
  <r>
    <x v="4"/>
    <x v="8"/>
    <d v="2026-10-29T00:00:00"/>
    <x v="6"/>
    <n v="19507.169999999998"/>
    <n v="19.507169999999999"/>
  </r>
  <r>
    <x v="4"/>
    <x v="8"/>
    <d v="2026-10-29T00:00:00"/>
    <x v="7"/>
    <n v="2997.88"/>
    <n v="2.9978800000000003"/>
  </r>
  <r>
    <x v="4"/>
    <x v="8"/>
    <d v="2026-10-01T00:00:00"/>
    <x v="8"/>
    <n v="0"/>
    <n v="0"/>
  </r>
  <r>
    <x v="4"/>
    <x v="9"/>
    <d v="2026-10-26T00:00:00"/>
    <x v="2"/>
    <n v="415556.76"/>
    <n v="415.55676"/>
  </r>
  <r>
    <x v="4"/>
    <x v="9"/>
    <d v="2026-10-25T00:00:00"/>
    <x v="1"/>
    <n v="317282.11"/>
    <n v="317.28210999999999"/>
  </r>
  <r>
    <x v="4"/>
    <x v="9"/>
    <d v="2026-10-22T00:00:00"/>
    <x v="3"/>
    <n v="303332.87"/>
    <n v="303.33287000000001"/>
  </r>
  <r>
    <x v="4"/>
    <x v="9"/>
    <d v="2026-10-22T00:00:00"/>
    <x v="0"/>
    <n v="253221.74"/>
    <n v="253.22173999999998"/>
  </r>
  <r>
    <x v="4"/>
    <x v="9"/>
    <d v="2026-10-03T00:00:00"/>
    <x v="5"/>
    <n v="118791.59"/>
    <n v="118.79159"/>
  </r>
  <r>
    <x v="4"/>
    <x v="9"/>
    <d v="2026-10-22T00:00:00"/>
    <x v="4"/>
    <n v="91183.52"/>
    <n v="91.183520000000001"/>
  </r>
  <r>
    <x v="4"/>
    <x v="9"/>
    <d v="2026-10-29T00:00:00"/>
    <x v="6"/>
    <n v="43344.13"/>
    <n v="43.34413"/>
  </r>
  <r>
    <x v="4"/>
    <x v="9"/>
    <d v="2026-10-03T00:00:00"/>
    <x v="7"/>
    <n v="8669.91"/>
    <n v="8.6699099999999998"/>
  </r>
  <r>
    <x v="4"/>
    <x v="9"/>
    <d v="2026-10-01T00:00:00"/>
    <x v="8"/>
    <n v="0"/>
    <n v="0"/>
  </r>
  <r>
    <x v="4"/>
    <x v="10"/>
    <d v="2026-10-27T00:00:00"/>
    <x v="2"/>
    <n v="283401.42"/>
    <n v="283.40141999999997"/>
  </r>
  <r>
    <x v="4"/>
    <x v="10"/>
    <d v="2026-10-22T00:00:00"/>
    <x v="3"/>
    <n v="200807.54"/>
    <n v="200.80754000000002"/>
  </r>
  <r>
    <x v="4"/>
    <x v="10"/>
    <d v="2026-10-27T00:00:00"/>
    <x v="1"/>
    <n v="195615.3"/>
    <n v="195.61529999999999"/>
  </r>
  <r>
    <x v="4"/>
    <x v="10"/>
    <d v="2026-10-22T00:00:00"/>
    <x v="0"/>
    <n v="162588.69"/>
    <n v="162.58869000000001"/>
  </r>
  <r>
    <x v="4"/>
    <x v="10"/>
    <d v="2026-10-02T00:00:00"/>
    <x v="5"/>
    <n v="82754.38"/>
    <n v="82.754379999999998"/>
  </r>
  <r>
    <x v="4"/>
    <x v="10"/>
    <d v="2026-10-22T00:00:00"/>
    <x v="4"/>
    <n v="55165.52"/>
    <n v="55.165519999999994"/>
  </r>
  <r>
    <x v="4"/>
    <x v="10"/>
    <d v="2026-10-27T00:00:00"/>
    <x v="6"/>
    <n v="31469.57"/>
    <n v="31.469570000000001"/>
  </r>
  <r>
    <x v="4"/>
    <x v="10"/>
    <d v="2026-10-03T00:00:00"/>
    <x v="7"/>
    <n v="5921.03"/>
    <n v="5.92103"/>
  </r>
  <r>
    <x v="4"/>
    <x v="10"/>
    <d v="2026-10-01T00:00:00"/>
    <x v="8"/>
    <n v="0"/>
    <n v="0"/>
  </r>
  <r>
    <x v="4"/>
    <x v="11"/>
    <d v="2026-10-26T00:00:00"/>
    <x v="2"/>
    <n v="352327.86"/>
    <n v="352.32785999999999"/>
  </r>
  <r>
    <x v="4"/>
    <x v="11"/>
    <d v="2026-10-20T00:00:00"/>
    <x v="3"/>
    <n v="249480.95999999999"/>
    <n v="249.48095999999998"/>
  </r>
  <r>
    <x v="4"/>
    <x v="11"/>
    <d v="2026-10-23T00:00:00"/>
    <x v="1"/>
    <n v="235322.1"/>
    <n v="235.32210000000001"/>
  </r>
  <r>
    <x v="4"/>
    <x v="11"/>
    <d v="2026-10-23T00:00:00"/>
    <x v="0"/>
    <n v="199834.32"/>
    <n v="199.83432000000002"/>
  </r>
  <r>
    <x v="4"/>
    <x v="11"/>
    <d v="2026-10-03T00:00:00"/>
    <x v="5"/>
    <n v="99538.59"/>
    <n v="99.538589999999999"/>
  </r>
  <r>
    <x v="4"/>
    <x v="11"/>
    <d v="2026-10-21T00:00:00"/>
    <x v="4"/>
    <n v="71279.25"/>
    <n v="71.279250000000005"/>
  </r>
  <r>
    <x v="4"/>
    <x v="11"/>
    <d v="2026-10-26T00:00:00"/>
    <x v="6"/>
    <n v="37603.97"/>
    <n v="37.603970000000004"/>
  </r>
  <r>
    <x v="4"/>
    <x v="11"/>
    <d v="2026-10-03T00:00:00"/>
    <x v="7"/>
    <n v="7470.81"/>
    <n v="7.4708100000000002"/>
  </r>
  <r>
    <x v="4"/>
    <x v="11"/>
    <d v="2026-10-01T00:00:00"/>
    <x v="8"/>
    <n v="0"/>
    <n v="0"/>
  </r>
  <r>
    <x v="5"/>
    <x v="0"/>
    <d v="2026-11-08T00:00:00"/>
    <x v="1"/>
    <n v="297944.53999999998"/>
    <n v="297.94453999999996"/>
  </r>
  <r>
    <x v="5"/>
    <x v="0"/>
    <d v="2026-11-19T00:00:00"/>
    <x v="3"/>
    <n v="190853.74"/>
    <n v="190.85373999999999"/>
  </r>
  <r>
    <x v="5"/>
    <x v="0"/>
    <d v="2026-11-09T00:00:00"/>
    <x v="0"/>
    <n v="186808.43"/>
    <n v="186.80842999999999"/>
  </r>
  <r>
    <x v="5"/>
    <x v="0"/>
    <d v="2026-11-02T00:00:00"/>
    <x v="2"/>
    <n v="183789.19"/>
    <n v="183.78918999999999"/>
  </r>
  <r>
    <x v="5"/>
    <x v="0"/>
    <d v="2026-11-01T00:00:00"/>
    <x v="5"/>
    <n v="96683.43"/>
    <n v="96.683429999999987"/>
  </r>
  <r>
    <x v="5"/>
    <x v="0"/>
    <d v="2026-11-07T00:00:00"/>
    <x v="4"/>
    <n v="62629.88"/>
    <n v="62.62988"/>
  </r>
  <r>
    <x v="5"/>
    <x v="0"/>
    <d v="2026-11-20T00:00:00"/>
    <x v="6"/>
    <n v="52422.29"/>
    <n v="52.422290000000004"/>
  </r>
  <r>
    <x v="5"/>
    <x v="0"/>
    <d v="2026-11-27T00:00:00"/>
    <x v="7"/>
    <n v="13142.21"/>
    <n v="13.142209999999999"/>
  </r>
  <r>
    <x v="5"/>
    <x v="1"/>
    <d v="2026-11-02T00:00:00"/>
    <x v="0"/>
    <n v="234200.97"/>
    <n v="234.20097000000001"/>
  </r>
  <r>
    <x v="5"/>
    <x v="1"/>
    <d v="2026-11-02T00:00:00"/>
    <x v="2"/>
    <n v="194719.43"/>
    <n v="194.71942999999999"/>
  </r>
  <r>
    <x v="5"/>
    <x v="1"/>
    <d v="2026-11-01T00:00:00"/>
    <x v="3"/>
    <n v="177810.96"/>
    <n v="177.81095999999999"/>
  </r>
  <r>
    <x v="5"/>
    <x v="1"/>
    <d v="2026-11-01T00:00:00"/>
    <x v="7"/>
    <n v="114751.74"/>
    <n v="114.75174000000001"/>
  </r>
  <r>
    <x v="5"/>
    <x v="1"/>
    <d v="2026-11-01T00:00:00"/>
    <x v="5"/>
    <n v="104796.37"/>
    <n v="104.79637"/>
  </r>
  <r>
    <x v="5"/>
    <x v="1"/>
    <d v="2026-11-01T00:00:00"/>
    <x v="4"/>
    <n v="57608.5"/>
    <n v="57.608499999999999"/>
  </r>
  <r>
    <x v="5"/>
    <x v="1"/>
    <d v="2026-11-23T00:00:00"/>
    <x v="6"/>
    <n v="33808.120000000003"/>
    <n v="33.808120000000002"/>
  </r>
  <r>
    <x v="5"/>
    <x v="1"/>
    <d v="2026-11-01T00:00:00"/>
    <x v="1"/>
    <n v="13231.71"/>
    <n v="13.23171"/>
  </r>
  <r>
    <x v="5"/>
    <x v="1"/>
    <d v="2026-11-01T00:00:00"/>
    <x v="8"/>
    <n v="0"/>
    <n v="0"/>
  </r>
  <r>
    <x v="5"/>
    <x v="2"/>
    <d v="2026-11-21T00:00:00"/>
    <x v="3"/>
    <n v="368908.22"/>
    <n v="368.90821999999997"/>
  </r>
  <r>
    <x v="5"/>
    <x v="2"/>
    <d v="2026-11-04T00:00:00"/>
    <x v="2"/>
    <n v="302060.71000000002"/>
    <n v="302.06071000000003"/>
  </r>
  <r>
    <x v="5"/>
    <x v="2"/>
    <d v="2026-11-01T00:00:00"/>
    <x v="0"/>
    <n v="260802.73"/>
    <n v="260.80273"/>
  </r>
  <r>
    <x v="5"/>
    <x v="2"/>
    <d v="2026-11-11T00:00:00"/>
    <x v="1"/>
    <n v="253948.38"/>
    <n v="253.94838000000001"/>
  </r>
  <r>
    <x v="5"/>
    <x v="2"/>
    <d v="2026-11-01T00:00:00"/>
    <x v="5"/>
    <n v="77736.92"/>
    <n v="77.736919999999998"/>
  </r>
  <r>
    <x v="5"/>
    <x v="2"/>
    <d v="2026-11-14T00:00:00"/>
    <x v="4"/>
    <n v="64939.59"/>
    <n v="64.939589999999995"/>
  </r>
  <r>
    <x v="5"/>
    <x v="2"/>
    <d v="2026-11-25T00:00:00"/>
    <x v="6"/>
    <n v="39235.800000000003"/>
    <n v="39.235800000000005"/>
  </r>
  <r>
    <x v="5"/>
    <x v="2"/>
    <d v="2026-11-27T00:00:00"/>
    <x v="7"/>
    <n v="8278.4699999999993"/>
    <n v="8.2784699999999987"/>
  </r>
  <r>
    <x v="5"/>
    <x v="2"/>
    <d v="2026-11-01T00:00:00"/>
    <x v="8"/>
    <n v="0"/>
    <n v="0"/>
  </r>
  <r>
    <x v="5"/>
    <x v="3"/>
    <d v="2026-11-24T00:00:00"/>
    <x v="5"/>
    <n v="291674.34999999998"/>
    <n v="291.67435"/>
  </r>
  <r>
    <x v="5"/>
    <x v="3"/>
    <d v="2026-11-02T00:00:00"/>
    <x v="2"/>
    <n v="129847.93"/>
    <n v="129.84792999999999"/>
  </r>
  <r>
    <x v="5"/>
    <x v="3"/>
    <d v="2026-11-03T00:00:00"/>
    <x v="1"/>
    <n v="119136.7"/>
    <n v="119.13669999999999"/>
  </r>
  <r>
    <x v="5"/>
    <x v="3"/>
    <d v="2026-11-09T00:00:00"/>
    <x v="0"/>
    <n v="113535.76"/>
    <n v="113.53576"/>
  </r>
  <r>
    <x v="5"/>
    <x v="3"/>
    <d v="2026-11-02T00:00:00"/>
    <x v="4"/>
    <n v="41475.99"/>
    <n v="41.475989999999996"/>
  </r>
  <r>
    <x v="5"/>
    <x v="3"/>
    <d v="2026-11-01T00:00:00"/>
    <x v="3"/>
    <n v="36627.54"/>
    <n v="36.627540000000003"/>
  </r>
  <r>
    <x v="5"/>
    <x v="3"/>
    <d v="2026-11-23T00:00:00"/>
    <x v="6"/>
    <n v="33245.83"/>
    <n v="33.245830000000005"/>
  </r>
  <r>
    <x v="5"/>
    <x v="3"/>
    <d v="2026-11-24T00:00:00"/>
    <x v="7"/>
    <n v="5981.14"/>
    <n v="5.9811399999999999"/>
  </r>
  <r>
    <x v="5"/>
    <x v="3"/>
    <d v="2026-11-01T00:00:00"/>
    <x v="8"/>
    <n v="0"/>
    <n v="0"/>
  </r>
  <r>
    <x v="5"/>
    <x v="4"/>
    <d v="2026-11-27T00:00:00"/>
    <x v="5"/>
    <n v="680291.26"/>
    <n v="680.29125999999997"/>
  </r>
  <r>
    <x v="5"/>
    <x v="4"/>
    <d v="2026-11-01T00:00:00"/>
    <x v="2"/>
    <n v="248468.53"/>
    <n v="248.46852999999999"/>
  </r>
  <r>
    <x v="5"/>
    <x v="4"/>
    <d v="2026-11-20T00:00:00"/>
    <x v="1"/>
    <n v="193086.43"/>
    <n v="193.08643000000001"/>
  </r>
  <r>
    <x v="5"/>
    <x v="4"/>
    <d v="2026-11-01T00:00:00"/>
    <x v="0"/>
    <n v="171432.46"/>
    <n v="171.43245999999999"/>
  </r>
  <r>
    <x v="5"/>
    <x v="4"/>
    <d v="2026-11-26T00:00:00"/>
    <x v="6"/>
    <n v="56090.89"/>
    <n v="56.090890000000002"/>
  </r>
  <r>
    <x v="5"/>
    <x v="4"/>
    <d v="2026-11-01T00:00:00"/>
    <x v="4"/>
    <n v="52547.99"/>
    <n v="52.547989999999999"/>
  </r>
  <r>
    <x v="5"/>
    <x v="4"/>
    <d v="2026-11-15T00:00:00"/>
    <x v="3"/>
    <n v="40858.71"/>
    <n v="40.858710000000002"/>
  </r>
  <r>
    <x v="5"/>
    <x v="4"/>
    <d v="2026-11-27T00:00:00"/>
    <x v="7"/>
    <n v="14361.62"/>
    <n v="14.36162"/>
  </r>
  <r>
    <x v="5"/>
    <x v="4"/>
    <d v="2026-11-01T00:00:00"/>
    <x v="8"/>
    <n v="0"/>
    <n v="0"/>
  </r>
  <r>
    <x v="5"/>
    <x v="5"/>
    <d v="2026-11-04T00:00:00"/>
    <x v="1"/>
    <n v="98053.15"/>
    <n v="98.053149999999988"/>
  </r>
  <r>
    <x v="5"/>
    <x v="5"/>
    <d v="2026-11-04T00:00:00"/>
    <x v="3"/>
    <n v="50838.76"/>
    <n v="50.838760000000001"/>
  </r>
  <r>
    <x v="5"/>
    <x v="5"/>
    <d v="2026-11-04T00:00:00"/>
    <x v="2"/>
    <n v="50644.84"/>
    <n v="50.644839999999995"/>
  </r>
  <r>
    <x v="5"/>
    <x v="5"/>
    <d v="2026-11-16T00:00:00"/>
    <x v="5"/>
    <n v="45514.7"/>
    <n v="45.514699999999998"/>
  </r>
  <r>
    <x v="5"/>
    <x v="5"/>
    <d v="2026-11-04T00:00:00"/>
    <x v="0"/>
    <n v="40208.83"/>
    <n v="40.208829999999999"/>
  </r>
  <r>
    <x v="5"/>
    <x v="5"/>
    <d v="2026-11-04T00:00:00"/>
    <x v="4"/>
    <n v="31993.35"/>
    <n v="31.99335"/>
  </r>
  <r>
    <x v="5"/>
    <x v="5"/>
    <d v="2026-11-04T00:00:00"/>
    <x v="6"/>
    <n v="9569.77"/>
    <n v="9.5697700000000001"/>
  </r>
  <r>
    <x v="5"/>
    <x v="5"/>
    <d v="2026-11-01T00:00:00"/>
    <x v="8"/>
    <n v="0"/>
    <n v="0"/>
  </r>
  <r>
    <x v="5"/>
    <x v="5"/>
    <d v="2026-11-01T00:00:00"/>
    <x v="7"/>
    <n v="0"/>
    <n v="0"/>
  </r>
  <r>
    <x v="5"/>
    <x v="6"/>
    <d v="2026-11-03T00:00:00"/>
    <x v="2"/>
    <n v="323706.77"/>
    <n v="323.70677000000001"/>
  </r>
  <r>
    <x v="5"/>
    <x v="6"/>
    <d v="2026-11-24T00:00:00"/>
    <x v="3"/>
    <n v="150008.29999999999"/>
    <n v="150.00829999999999"/>
  </r>
  <r>
    <x v="5"/>
    <x v="6"/>
    <d v="2026-11-09T00:00:00"/>
    <x v="0"/>
    <n v="127624.64"/>
    <n v="127.62464"/>
  </r>
  <r>
    <x v="5"/>
    <x v="6"/>
    <d v="2026-11-03T00:00:00"/>
    <x v="1"/>
    <n v="102172.24"/>
    <n v="102.17224"/>
  </r>
  <r>
    <x v="5"/>
    <x v="6"/>
    <d v="2026-11-24T00:00:00"/>
    <x v="5"/>
    <n v="64845.11"/>
    <n v="64.845110000000005"/>
  </r>
  <r>
    <x v="5"/>
    <x v="6"/>
    <d v="2026-11-24T00:00:00"/>
    <x v="6"/>
    <n v="61220.85"/>
    <n v="61.220849999999999"/>
  </r>
  <r>
    <x v="5"/>
    <x v="6"/>
    <d v="2026-11-09T00:00:00"/>
    <x v="4"/>
    <n v="58048.15"/>
    <n v="58.04815"/>
  </r>
  <r>
    <x v="5"/>
    <x v="6"/>
    <d v="2026-11-23T00:00:00"/>
    <x v="7"/>
    <n v="4065.91"/>
    <n v="4.0659099999999997"/>
  </r>
  <r>
    <x v="5"/>
    <x v="6"/>
    <d v="2026-11-01T00:00:00"/>
    <x v="8"/>
    <n v="0"/>
    <n v="0"/>
  </r>
  <r>
    <x v="5"/>
    <x v="7"/>
    <d v="2026-11-05T00:00:00"/>
    <x v="2"/>
    <n v="212268.93"/>
    <n v="212.26892999999998"/>
  </r>
  <r>
    <x v="5"/>
    <x v="7"/>
    <d v="2026-11-24T00:00:00"/>
    <x v="3"/>
    <n v="108862.94"/>
    <n v="108.86294000000001"/>
  </r>
  <r>
    <x v="5"/>
    <x v="7"/>
    <d v="2026-11-01T00:00:00"/>
    <x v="0"/>
    <n v="73529.5"/>
    <n v="73.529499999999999"/>
  </r>
  <r>
    <x v="5"/>
    <x v="7"/>
    <d v="2026-11-01T00:00:00"/>
    <x v="1"/>
    <n v="68027.95"/>
    <n v="68.027950000000004"/>
  </r>
  <r>
    <x v="5"/>
    <x v="7"/>
    <d v="2026-11-24T00:00:00"/>
    <x v="5"/>
    <n v="44098.47"/>
    <n v="44.098469999999999"/>
  </r>
  <r>
    <x v="5"/>
    <x v="7"/>
    <d v="2026-11-18T00:00:00"/>
    <x v="6"/>
    <n v="42459.22"/>
    <n v="42.459220000000002"/>
  </r>
  <r>
    <x v="5"/>
    <x v="7"/>
    <d v="2026-11-01T00:00:00"/>
    <x v="4"/>
    <n v="42023.32"/>
    <n v="42.023319999999998"/>
  </r>
  <r>
    <x v="5"/>
    <x v="7"/>
    <d v="2026-11-25T00:00:00"/>
    <x v="7"/>
    <n v="2675.86"/>
    <n v="2.6758600000000001"/>
  </r>
  <r>
    <x v="5"/>
    <x v="7"/>
    <d v="2026-11-01T00:00:00"/>
    <x v="8"/>
    <n v="0"/>
    <n v="0"/>
  </r>
  <r>
    <x v="5"/>
    <x v="8"/>
    <d v="2026-11-02T00:00:00"/>
    <x v="1"/>
    <n v="228539.69"/>
    <n v="228.53969000000001"/>
  </r>
  <r>
    <x v="5"/>
    <x v="8"/>
    <d v="2026-11-02T00:00:00"/>
    <x v="3"/>
    <n v="133562.82"/>
    <n v="133.56282000000002"/>
  </r>
  <r>
    <x v="5"/>
    <x v="8"/>
    <d v="2026-11-27T00:00:00"/>
    <x v="5"/>
    <n v="88973.47"/>
    <n v="88.973470000000006"/>
  </r>
  <r>
    <x v="5"/>
    <x v="8"/>
    <d v="2026-11-02T00:00:00"/>
    <x v="2"/>
    <n v="87197.96"/>
    <n v="87.197960000000009"/>
  </r>
  <r>
    <x v="5"/>
    <x v="8"/>
    <d v="2026-11-02T00:00:00"/>
    <x v="0"/>
    <n v="75555.05"/>
    <n v="75.555050000000008"/>
  </r>
  <r>
    <x v="5"/>
    <x v="8"/>
    <d v="2026-11-02T00:00:00"/>
    <x v="4"/>
    <n v="35415.449999999997"/>
    <n v="35.41545"/>
  </r>
  <r>
    <x v="5"/>
    <x v="8"/>
    <d v="2026-11-27T00:00:00"/>
    <x v="6"/>
    <n v="19870.2"/>
    <n v="19.870200000000001"/>
  </r>
  <r>
    <x v="5"/>
    <x v="8"/>
    <d v="2026-11-27T00:00:00"/>
    <x v="7"/>
    <n v="3076.24"/>
    <n v="3.0762399999999999"/>
  </r>
  <r>
    <x v="5"/>
    <x v="8"/>
    <d v="2026-11-01T00:00:00"/>
    <x v="8"/>
    <n v="0"/>
    <n v="0"/>
  </r>
  <r>
    <x v="5"/>
    <x v="9"/>
    <d v="2026-11-01T00:00:00"/>
    <x v="2"/>
    <n v="408156.57"/>
    <n v="408.15656999999999"/>
  </r>
  <r>
    <x v="5"/>
    <x v="9"/>
    <d v="2026-11-03T00:00:00"/>
    <x v="1"/>
    <n v="305922.08"/>
    <n v="305.92207999999999"/>
  </r>
  <r>
    <x v="5"/>
    <x v="9"/>
    <d v="2026-11-01T00:00:00"/>
    <x v="0"/>
    <n v="222556.38"/>
    <n v="222.55638000000002"/>
  </r>
  <r>
    <x v="5"/>
    <x v="9"/>
    <d v="2026-11-01T00:00:00"/>
    <x v="3"/>
    <n v="219983.49"/>
    <n v="219.98348999999999"/>
  </r>
  <r>
    <x v="5"/>
    <x v="9"/>
    <d v="2026-11-23T00:00:00"/>
    <x v="5"/>
    <n v="117598.28"/>
    <n v="117.59828"/>
  </r>
  <r>
    <x v="5"/>
    <x v="9"/>
    <d v="2026-11-01T00:00:00"/>
    <x v="4"/>
    <n v="69504.37"/>
    <n v="69.504369999999994"/>
  </r>
  <r>
    <x v="5"/>
    <x v="9"/>
    <d v="2026-11-25T00:00:00"/>
    <x v="6"/>
    <n v="45617.93"/>
    <n v="45.617930000000001"/>
  </r>
  <r>
    <x v="5"/>
    <x v="9"/>
    <d v="2026-11-23T00:00:00"/>
    <x v="7"/>
    <n v="8101.64"/>
    <n v="8.1016399999999997"/>
  </r>
  <r>
    <x v="5"/>
    <x v="9"/>
    <d v="2026-11-01T00:00:00"/>
    <x v="8"/>
    <n v="0"/>
    <n v="0"/>
  </r>
  <r>
    <x v="5"/>
    <x v="10"/>
    <d v="2026-11-03T00:00:00"/>
    <x v="2"/>
    <n v="277373.88"/>
    <n v="277.37387999999999"/>
  </r>
  <r>
    <x v="5"/>
    <x v="10"/>
    <d v="2026-11-03T00:00:00"/>
    <x v="1"/>
    <n v="180803.47"/>
    <n v="180.80347"/>
  </r>
  <r>
    <x v="5"/>
    <x v="10"/>
    <d v="2026-11-01T00:00:00"/>
    <x v="3"/>
    <n v="144623.35999999999"/>
    <n v="144.62335999999999"/>
  </r>
  <r>
    <x v="5"/>
    <x v="10"/>
    <d v="2026-11-03T00:00:00"/>
    <x v="0"/>
    <n v="144620.5"/>
    <n v="144.62049999999999"/>
  </r>
  <r>
    <x v="5"/>
    <x v="10"/>
    <d v="2026-11-25T00:00:00"/>
    <x v="5"/>
    <n v="82988.899999999994"/>
    <n v="82.988900000000001"/>
  </r>
  <r>
    <x v="5"/>
    <x v="10"/>
    <d v="2026-11-01T00:00:00"/>
    <x v="4"/>
    <n v="42819.07"/>
    <n v="42.819069999999996"/>
  </r>
  <r>
    <x v="5"/>
    <x v="10"/>
    <d v="2026-11-25T00:00:00"/>
    <x v="6"/>
    <n v="32838.400000000001"/>
    <n v="32.8384"/>
  </r>
  <r>
    <x v="5"/>
    <x v="10"/>
    <d v="2026-11-27T00:00:00"/>
    <x v="7"/>
    <n v="5830.05"/>
    <n v="5.83005"/>
  </r>
  <r>
    <x v="5"/>
    <x v="10"/>
    <d v="2026-11-01T00:00:00"/>
    <x v="8"/>
    <n v="0"/>
    <n v="0"/>
  </r>
  <r>
    <x v="5"/>
    <x v="11"/>
    <d v="2026-11-03T00:00:00"/>
    <x v="2"/>
    <n v="338799.21"/>
    <n v="338.79921000000002"/>
  </r>
  <r>
    <x v="5"/>
    <x v="11"/>
    <d v="2026-11-10T00:00:00"/>
    <x v="1"/>
    <n v="237472.41"/>
    <n v="237.47241"/>
  </r>
  <r>
    <x v="5"/>
    <x v="11"/>
    <d v="2026-11-08T00:00:00"/>
    <x v="0"/>
    <n v="178853.47"/>
    <n v="178.85346999999999"/>
  </r>
  <r>
    <x v="5"/>
    <x v="11"/>
    <d v="2026-11-01T00:00:00"/>
    <x v="3"/>
    <n v="175339.65"/>
    <n v="175.33965000000001"/>
  </r>
  <r>
    <x v="5"/>
    <x v="11"/>
    <d v="2026-11-27T00:00:00"/>
    <x v="5"/>
    <n v="99745.279999999999"/>
    <n v="99.745279999999994"/>
  </r>
  <r>
    <x v="5"/>
    <x v="11"/>
    <d v="2026-11-01T00:00:00"/>
    <x v="4"/>
    <n v="54333.18"/>
    <n v="54.333179999999999"/>
  </r>
  <r>
    <x v="5"/>
    <x v="11"/>
    <d v="2026-11-23T00:00:00"/>
    <x v="6"/>
    <n v="42220.81"/>
    <n v="42.22081"/>
  </r>
  <r>
    <x v="5"/>
    <x v="11"/>
    <d v="2026-11-27T00:00:00"/>
    <x v="7"/>
    <n v="7129.37"/>
    <n v="7.1293699999999998"/>
  </r>
  <r>
    <x v="5"/>
    <x v="11"/>
    <d v="2026-11-01T00:00:00"/>
    <x v="8"/>
    <n v="0"/>
    <n v="0"/>
  </r>
  <r>
    <x v="6"/>
    <x v="12"/>
    <m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32011-6238-4DE2-8E40-7FAC537B10C2}" name="PivotTable1" cacheId="0" applyNumberFormats="0" applyBorderFormats="0" applyFontFormats="0" applyPatternFormats="0" applyAlignmentFormats="0" applyWidthHeightFormats="1" dataCaption="Values" grandTotalCaption="BU Total" updatedVersion="8" minRefreshableVersion="3" useAutoFormatting="1" itemPrintTitles="1" createdVersion="8" indent="0" outline="1" outlineData="1" multipleFieldFilters="0" rowHeaderCaption="Category" colHeaderCaption="Location">
  <location ref="A3:N14" firstHeaderRow="1" firstDataRow="2" firstDataCol="1" rowPageCount="1" colPageCount="1"/>
  <pivotFields count="6"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11">
        <item x="3"/>
        <item x="1"/>
        <item x="4"/>
        <item x="2"/>
        <item x="8"/>
        <item x="6"/>
        <item x="0"/>
        <item x="5"/>
        <item x="7"/>
        <item x="9"/>
        <item t="default"/>
      </items>
    </pivotField>
    <pivotField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item="4" hier="-1"/>
  </pageFields>
  <dataFields count="1">
    <dataField name="Month Peak" fld="5" baseField="3" baseItem="0" numFmtId="1"/>
  </dataFields>
  <formats count="2">
    <format dxfId="1">
      <pivotArea outline="0" collapsedLevelsAreSubtotals="1" fieldPosition="0"/>
    </format>
    <format dxfId="0">
      <pivotArea field="0" dataOnly="0" grandRow="1" axis="axisPage" fieldPosition="0">
        <references count="1">
          <reference field="0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s="2">
        <v>46202</v>
      </c>
    </row>
    <row r="7" spans="1:2">
      <c r="A7" t="s">
        <v>10</v>
      </c>
      <c r="B7" s="2">
        <v>46353</v>
      </c>
    </row>
    <row r="8" spans="1:2">
      <c r="A8" t="s">
        <v>11</v>
      </c>
      <c r="B8" s="2">
        <v>46202</v>
      </c>
    </row>
    <row r="9" spans="1:2">
      <c r="A9" t="s">
        <v>12</v>
      </c>
      <c r="B9" s="2">
        <v>46357</v>
      </c>
    </row>
    <row r="10" spans="1:2">
      <c r="A10" t="s">
        <v>13</v>
      </c>
      <c r="B10" t="s">
        <v>14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92"/>
  <sheetViews>
    <sheetView workbookViewId="0">
      <selection activeCell="S87" sqref="S87"/>
    </sheetView>
  </sheetViews>
  <sheetFormatPr defaultRowHeight="14.4"/>
  <cols>
    <col min="2" max="2" width="13" bestFit="1" customWidth="1"/>
    <col min="3" max="3" width="17.109375" bestFit="1" customWidth="1"/>
    <col min="4" max="4" width="13.77734375" bestFit="1" customWidth="1"/>
    <col min="5" max="5" width="11.33203125" style="26" customWidth="1"/>
  </cols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40" t="s">
        <v>221</v>
      </c>
    </row>
    <row r="2" spans="1:5" hidden="1">
      <c r="A2" t="s">
        <v>19</v>
      </c>
      <c r="B2" t="s">
        <v>20</v>
      </c>
      <c r="C2">
        <v>4436</v>
      </c>
      <c r="D2">
        <v>4436</v>
      </c>
      <c r="E2" s="26">
        <v>1</v>
      </c>
    </row>
    <row r="3" spans="1:5" hidden="1">
      <c r="A3" t="s">
        <v>19</v>
      </c>
      <c r="B3" t="s">
        <v>21</v>
      </c>
      <c r="C3">
        <v>6059</v>
      </c>
      <c r="D3">
        <v>6060</v>
      </c>
      <c r="E3" s="26">
        <v>0.99980000000000002</v>
      </c>
    </row>
    <row r="4" spans="1:5" hidden="1">
      <c r="A4" t="s">
        <v>19</v>
      </c>
      <c r="B4" t="s">
        <v>22</v>
      </c>
      <c r="C4">
        <v>10656</v>
      </c>
      <c r="D4">
        <v>10661</v>
      </c>
      <c r="E4" s="26">
        <v>0.99950000000000006</v>
      </c>
    </row>
    <row r="5" spans="1:5" hidden="1">
      <c r="A5" t="s">
        <v>19</v>
      </c>
      <c r="B5" t="s">
        <v>23</v>
      </c>
      <c r="C5">
        <v>1898</v>
      </c>
      <c r="D5">
        <v>1898</v>
      </c>
      <c r="E5" s="26">
        <v>1</v>
      </c>
    </row>
    <row r="6" spans="1:5" hidden="1">
      <c r="A6" t="s">
        <v>19</v>
      </c>
      <c r="B6" t="s">
        <v>24</v>
      </c>
      <c r="C6">
        <v>5068</v>
      </c>
      <c r="D6">
        <v>5069</v>
      </c>
      <c r="E6" s="26">
        <v>0.99980000000000002</v>
      </c>
    </row>
    <row r="7" spans="1:5" hidden="1">
      <c r="A7" t="s">
        <v>19</v>
      </c>
      <c r="B7" t="s">
        <v>25</v>
      </c>
      <c r="C7">
        <v>1214</v>
      </c>
      <c r="D7">
        <v>1214</v>
      </c>
      <c r="E7" s="26">
        <v>1</v>
      </c>
    </row>
    <row r="8" spans="1:5" hidden="1">
      <c r="A8" t="s">
        <v>19</v>
      </c>
      <c r="B8" t="s">
        <v>26</v>
      </c>
      <c r="C8">
        <v>5579</v>
      </c>
      <c r="D8">
        <v>5580</v>
      </c>
      <c r="E8" s="26">
        <v>0.99980000000000002</v>
      </c>
    </row>
    <row r="9" spans="1:5" hidden="1">
      <c r="A9" t="s">
        <v>19</v>
      </c>
      <c r="B9" t="s">
        <v>27</v>
      </c>
      <c r="C9">
        <v>3801</v>
      </c>
      <c r="D9">
        <v>3801</v>
      </c>
      <c r="E9" s="26">
        <v>1</v>
      </c>
    </row>
    <row r="10" spans="1:5" hidden="1">
      <c r="A10" t="s">
        <v>19</v>
      </c>
      <c r="B10" t="s">
        <v>28</v>
      </c>
      <c r="C10">
        <v>3162</v>
      </c>
      <c r="D10">
        <v>3162</v>
      </c>
      <c r="E10" s="26">
        <v>1</v>
      </c>
    </row>
    <row r="11" spans="1:5" hidden="1">
      <c r="A11" t="s">
        <v>19</v>
      </c>
      <c r="B11" t="s">
        <v>29</v>
      </c>
      <c r="C11">
        <v>8030</v>
      </c>
      <c r="D11">
        <v>8032</v>
      </c>
      <c r="E11" s="26">
        <v>0.99980000000000002</v>
      </c>
    </row>
    <row r="12" spans="1:5" hidden="1">
      <c r="A12" t="s">
        <v>19</v>
      </c>
      <c r="B12" t="s">
        <v>30</v>
      </c>
      <c r="C12">
        <v>6220</v>
      </c>
      <c r="D12">
        <v>6220</v>
      </c>
      <c r="E12" s="26">
        <v>1</v>
      </c>
    </row>
    <row r="13" spans="1:5" hidden="1">
      <c r="A13" t="s">
        <v>19</v>
      </c>
      <c r="B13" t="s">
        <v>31</v>
      </c>
      <c r="C13">
        <v>8195</v>
      </c>
      <c r="D13">
        <v>8195</v>
      </c>
      <c r="E13" s="26">
        <v>1</v>
      </c>
    </row>
    <row r="14" spans="1:5" hidden="1">
      <c r="A14" t="s">
        <v>32</v>
      </c>
      <c r="B14" t="s">
        <v>20</v>
      </c>
      <c r="C14">
        <v>91176</v>
      </c>
      <c r="D14">
        <v>97101</v>
      </c>
      <c r="E14" s="26">
        <v>0.93899999999999995</v>
      </c>
    </row>
    <row r="15" spans="1:5" hidden="1">
      <c r="A15" t="s">
        <v>32</v>
      </c>
      <c r="B15" t="s">
        <v>21</v>
      </c>
      <c r="C15">
        <v>110904</v>
      </c>
      <c r="D15">
        <v>123172</v>
      </c>
      <c r="E15" s="26">
        <v>0.90039999999999998</v>
      </c>
    </row>
    <row r="16" spans="1:5" hidden="1">
      <c r="A16" t="s">
        <v>32</v>
      </c>
      <c r="B16" t="s">
        <v>22</v>
      </c>
      <c r="C16">
        <v>276808</v>
      </c>
      <c r="D16">
        <v>294609</v>
      </c>
      <c r="E16" s="26">
        <v>0.93959999999999999</v>
      </c>
    </row>
    <row r="17" spans="1:5" hidden="1">
      <c r="A17" t="s">
        <v>32</v>
      </c>
      <c r="B17" t="s">
        <v>23</v>
      </c>
      <c r="C17">
        <v>39043</v>
      </c>
      <c r="D17">
        <v>43774</v>
      </c>
      <c r="E17" s="26">
        <v>0.89190000000000003</v>
      </c>
    </row>
    <row r="18" spans="1:5" hidden="1">
      <c r="A18" t="s">
        <v>32</v>
      </c>
      <c r="B18" t="s">
        <v>24</v>
      </c>
      <c r="C18">
        <v>111468</v>
      </c>
      <c r="D18">
        <v>112848</v>
      </c>
      <c r="E18" s="26">
        <v>0.98780000000000001</v>
      </c>
    </row>
    <row r="19" spans="1:5" hidden="1">
      <c r="A19" t="s">
        <v>32</v>
      </c>
      <c r="B19" t="s">
        <v>25</v>
      </c>
      <c r="C19">
        <v>23682</v>
      </c>
      <c r="D19">
        <v>23935</v>
      </c>
      <c r="E19" s="26">
        <v>0.98939999999999995</v>
      </c>
    </row>
    <row r="20" spans="1:5" hidden="1">
      <c r="A20" t="s">
        <v>32</v>
      </c>
      <c r="B20" t="s">
        <v>26</v>
      </c>
      <c r="C20">
        <v>104910</v>
      </c>
      <c r="D20">
        <v>114465</v>
      </c>
      <c r="E20" s="26">
        <v>0.91649999999999998</v>
      </c>
    </row>
    <row r="21" spans="1:5" hidden="1">
      <c r="A21" t="s">
        <v>32</v>
      </c>
      <c r="B21" t="s">
        <v>27</v>
      </c>
      <c r="C21">
        <v>71708</v>
      </c>
      <c r="D21">
        <v>75719</v>
      </c>
      <c r="E21" s="26">
        <v>0.94699999999999995</v>
      </c>
    </row>
    <row r="22" spans="1:5" hidden="1">
      <c r="A22" t="s">
        <v>32</v>
      </c>
      <c r="B22" t="s">
        <v>28</v>
      </c>
      <c r="C22">
        <v>66673</v>
      </c>
      <c r="D22">
        <v>70653</v>
      </c>
      <c r="E22" s="26">
        <v>0.94369999999999998</v>
      </c>
    </row>
    <row r="23" spans="1:5" hidden="1">
      <c r="A23" t="s">
        <v>32</v>
      </c>
      <c r="B23" t="s">
        <v>29</v>
      </c>
      <c r="C23">
        <v>175550</v>
      </c>
      <c r="D23">
        <v>186882</v>
      </c>
      <c r="E23" s="26">
        <v>0.93940000000000001</v>
      </c>
    </row>
    <row r="24" spans="1:5" hidden="1">
      <c r="A24" t="s">
        <v>32</v>
      </c>
      <c r="B24" t="s">
        <v>30</v>
      </c>
      <c r="C24">
        <v>110537</v>
      </c>
      <c r="D24">
        <v>128996</v>
      </c>
      <c r="E24" s="26">
        <v>0.8569</v>
      </c>
    </row>
    <row r="25" spans="1:5" hidden="1">
      <c r="A25" t="s">
        <v>32</v>
      </c>
      <c r="B25" t="s">
        <v>31</v>
      </c>
      <c r="C25">
        <v>144388</v>
      </c>
      <c r="D25">
        <v>161371</v>
      </c>
      <c r="E25" s="26">
        <v>0.89480000000000004</v>
      </c>
    </row>
    <row r="26" spans="1:5" hidden="1">
      <c r="A26" t="s">
        <v>33</v>
      </c>
      <c r="B26" t="s">
        <v>20</v>
      </c>
      <c r="C26">
        <v>93454</v>
      </c>
      <c r="D26">
        <v>101622</v>
      </c>
      <c r="E26" s="26">
        <v>0.91959999999999997</v>
      </c>
    </row>
    <row r="27" spans="1:5" hidden="1">
      <c r="A27" t="s">
        <v>33</v>
      </c>
      <c r="B27" t="s">
        <v>21</v>
      </c>
      <c r="C27">
        <v>104424</v>
      </c>
      <c r="D27">
        <v>129035</v>
      </c>
      <c r="E27" s="26">
        <v>0.80930000000000002</v>
      </c>
    </row>
    <row r="28" spans="1:5" hidden="1">
      <c r="A28" t="s">
        <v>33</v>
      </c>
      <c r="B28" t="s">
        <v>22</v>
      </c>
      <c r="C28">
        <v>285833</v>
      </c>
      <c r="D28">
        <v>312181</v>
      </c>
      <c r="E28" s="26">
        <v>0.91559999999999997</v>
      </c>
    </row>
    <row r="29" spans="1:5" hidden="1">
      <c r="A29" t="s">
        <v>33</v>
      </c>
      <c r="B29" t="s">
        <v>23</v>
      </c>
      <c r="C29">
        <v>41548</v>
      </c>
      <c r="D29">
        <v>48501</v>
      </c>
      <c r="E29" s="26">
        <v>0.85660000000000003</v>
      </c>
    </row>
    <row r="30" spans="1:5" hidden="1">
      <c r="A30" t="s">
        <v>33</v>
      </c>
      <c r="B30" t="s">
        <v>24</v>
      </c>
      <c r="C30">
        <v>108852</v>
      </c>
      <c r="D30">
        <v>121284</v>
      </c>
      <c r="E30" s="26">
        <v>0.89749999999999996</v>
      </c>
    </row>
    <row r="31" spans="1:5" hidden="1">
      <c r="A31" t="s">
        <v>33</v>
      </c>
      <c r="B31" t="s">
        <v>25</v>
      </c>
      <c r="C31">
        <v>23311</v>
      </c>
      <c r="D31">
        <v>26603</v>
      </c>
      <c r="E31" s="26">
        <v>0.87629999999999997</v>
      </c>
    </row>
    <row r="32" spans="1:5" hidden="1">
      <c r="A32" t="s">
        <v>33</v>
      </c>
      <c r="B32" t="s">
        <v>26</v>
      </c>
      <c r="C32">
        <v>96116</v>
      </c>
      <c r="D32">
        <v>117329</v>
      </c>
      <c r="E32" s="26">
        <v>0.81920000000000004</v>
      </c>
    </row>
    <row r="33" spans="1:5" hidden="1">
      <c r="A33" t="s">
        <v>33</v>
      </c>
      <c r="B33" t="s">
        <v>27</v>
      </c>
      <c r="C33">
        <v>56455</v>
      </c>
      <c r="D33">
        <v>76817</v>
      </c>
      <c r="E33" s="26">
        <v>0.7349</v>
      </c>
    </row>
    <row r="34" spans="1:5" hidden="1">
      <c r="A34" t="s">
        <v>33</v>
      </c>
      <c r="B34" t="s">
        <v>28</v>
      </c>
      <c r="C34">
        <v>62141</v>
      </c>
      <c r="D34">
        <v>76335</v>
      </c>
      <c r="E34" s="26">
        <v>0.81410000000000005</v>
      </c>
    </row>
    <row r="35" spans="1:5" hidden="1">
      <c r="A35" t="s">
        <v>33</v>
      </c>
      <c r="B35" t="s">
        <v>29</v>
      </c>
      <c r="C35">
        <v>178083</v>
      </c>
      <c r="D35">
        <v>197646</v>
      </c>
      <c r="E35" s="26">
        <v>0.90100000000000002</v>
      </c>
    </row>
    <row r="36" spans="1:5" hidden="1">
      <c r="A36" t="s">
        <v>33</v>
      </c>
      <c r="B36" t="s">
        <v>30</v>
      </c>
      <c r="C36">
        <v>105866</v>
      </c>
      <c r="D36">
        <v>133935</v>
      </c>
      <c r="E36" s="26">
        <v>0.79039999999999999</v>
      </c>
    </row>
    <row r="37" spans="1:5" hidden="1">
      <c r="A37" t="s">
        <v>33</v>
      </c>
      <c r="B37" t="s">
        <v>31</v>
      </c>
      <c r="C37">
        <v>132459</v>
      </c>
      <c r="D37">
        <v>163924</v>
      </c>
      <c r="E37" s="26">
        <v>0.80810000000000004</v>
      </c>
    </row>
    <row r="38" spans="1:5" hidden="1">
      <c r="A38" t="s">
        <v>34</v>
      </c>
      <c r="B38" t="s">
        <v>20</v>
      </c>
      <c r="C38">
        <v>87172</v>
      </c>
      <c r="D38">
        <v>95992</v>
      </c>
      <c r="E38" s="26">
        <v>0.90810000000000002</v>
      </c>
    </row>
    <row r="39" spans="1:5" hidden="1">
      <c r="A39" t="s">
        <v>34</v>
      </c>
      <c r="B39" t="s">
        <v>21</v>
      </c>
      <c r="C39">
        <v>103241</v>
      </c>
      <c r="D39">
        <v>127330</v>
      </c>
      <c r="E39" s="26">
        <v>0.81079999999999997</v>
      </c>
    </row>
    <row r="40" spans="1:5" hidden="1">
      <c r="A40" t="s">
        <v>34</v>
      </c>
      <c r="B40" t="s">
        <v>22</v>
      </c>
      <c r="C40">
        <v>263959</v>
      </c>
      <c r="D40">
        <v>290306</v>
      </c>
      <c r="E40" s="26">
        <v>0.90920000000000001</v>
      </c>
    </row>
    <row r="41" spans="1:5" hidden="1">
      <c r="A41" t="s">
        <v>34</v>
      </c>
      <c r="B41" t="s">
        <v>23</v>
      </c>
      <c r="C41">
        <v>38327</v>
      </c>
      <c r="D41">
        <v>46208</v>
      </c>
      <c r="E41" s="26">
        <v>0.82940000000000003</v>
      </c>
    </row>
    <row r="42" spans="1:5" hidden="1">
      <c r="A42" t="s">
        <v>34</v>
      </c>
      <c r="B42" t="s">
        <v>24</v>
      </c>
      <c r="C42">
        <v>102248</v>
      </c>
      <c r="D42">
        <v>115439</v>
      </c>
      <c r="E42" s="26">
        <v>0.88570000000000004</v>
      </c>
    </row>
    <row r="43" spans="1:5" hidden="1">
      <c r="A43" t="s">
        <v>34</v>
      </c>
      <c r="B43" t="s">
        <v>25</v>
      </c>
      <c r="C43">
        <v>23669</v>
      </c>
      <c r="D43">
        <v>26828</v>
      </c>
      <c r="E43" s="26">
        <v>0.88219999999999998</v>
      </c>
    </row>
    <row r="44" spans="1:5" hidden="1">
      <c r="A44" t="s">
        <v>34</v>
      </c>
      <c r="B44" t="s">
        <v>26</v>
      </c>
      <c r="C44">
        <v>89419</v>
      </c>
      <c r="D44">
        <v>108591</v>
      </c>
      <c r="E44" s="26">
        <v>0.82340000000000002</v>
      </c>
    </row>
    <row r="45" spans="1:5" hidden="1">
      <c r="A45" t="s">
        <v>34</v>
      </c>
      <c r="B45" t="s">
        <v>27</v>
      </c>
      <c r="C45">
        <v>51955</v>
      </c>
      <c r="D45">
        <v>70839</v>
      </c>
      <c r="E45" s="26">
        <v>0.73340000000000005</v>
      </c>
    </row>
    <row r="46" spans="1:5" hidden="1">
      <c r="A46" t="s">
        <v>34</v>
      </c>
      <c r="B46" t="s">
        <v>28</v>
      </c>
      <c r="C46">
        <v>60785</v>
      </c>
      <c r="D46">
        <v>74395</v>
      </c>
      <c r="E46" s="26">
        <v>0.81710000000000005</v>
      </c>
    </row>
    <row r="47" spans="1:5" hidden="1">
      <c r="A47" t="s">
        <v>34</v>
      </c>
      <c r="B47" t="s">
        <v>29</v>
      </c>
      <c r="C47">
        <v>166447</v>
      </c>
      <c r="D47">
        <v>184347</v>
      </c>
      <c r="E47" s="26">
        <v>0.90290000000000004</v>
      </c>
    </row>
    <row r="48" spans="1:5" hidden="1">
      <c r="A48" t="s">
        <v>34</v>
      </c>
      <c r="B48" t="s">
        <v>30</v>
      </c>
      <c r="C48">
        <v>99927</v>
      </c>
      <c r="D48">
        <v>125212</v>
      </c>
      <c r="E48" s="26">
        <v>0.79810000000000003</v>
      </c>
    </row>
    <row r="49" spans="1:5" hidden="1">
      <c r="A49" t="s">
        <v>34</v>
      </c>
      <c r="B49" t="s">
        <v>31</v>
      </c>
      <c r="C49">
        <v>123591</v>
      </c>
      <c r="D49">
        <v>152972</v>
      </c>
      <c r="E49" s="26">
        <v>0.80789999999999995</v>
      </c>
    </row>
    <row r="50" spans="1:5">
      <c r="A50" t="s">
        <v>35</v>
      </c>
      <c r="B50" t="s">
        <v>20</v>
      </c>
      <c r="C50">
        <v>83800</v>
      </c>
      <c r="D50">
        <v>89177</v>
      </c>
      <c r="E50" s="26">
        <v>0.93969999999999998</v>
      </c>
    </row>
    <row r="51" spans="1:5">
      <c r="A51" t="s">
        <v>35</v>
      </c>
      <c r="B51" t="s">
        <v>21</v>
      </c>
      <c r="C51">
        <v>121890</v>
      </c>
      <c r="D51">
        <v>136334</v>
      </c>
      <c r="E51" s="26">
        <v>0.89410000000000001</v>
      </c>
    </row>
    <row r="52" spans="1:5">
      <c r="A52" t="s">
        <v>35</v>
      </c>
      <c r="B52" t="s">
        <v>22</v>
      </c>
      <c r="C52">
        <v>269097</v>
      </c>
      <c r="D52">
        <v>288812</v>
      </c>
      <c r="E52" s="26">
        <v>0.93169999999999997</v>
      </c>
    </row>
    <row r="53" spans="1:5">
      <c r="A53" t="s">
        <v>35</v>
      </c>
      <c r="B53" t="s">
        <v>23</v>
      </c>
      <c r="C53">
        <v>38195</v>
      </c>
      <c r="D53">
        <v>43421</v>
      </c>
      <c r="E53" s="26">
        <v>0.87960000000000005</v>
      </c>
    </row>
    <row r="54" spans="1:5">
      <c r="A54" t="s">
        <v>35</v>
      </c>
      <c r="B54" t="s">
        <v>24</v>
      </c>
      <c r="C54">
        <v>100588</v>
      </c>
      <c r="D54">
        <v>110188</v>
      </c>
      <c r="E54" s="26">
        <v>0.91290000000000004</v>
      </c>
    </row>
    <row r="55" spans="1:5">
      <c r="A55" t="s">
        <v>35</v>
      </c>
      <c r="B55" t="s">
        <v>25</v>
      </c>
      <c r="C55">
        <v>27324</v>
      </c>
      <c r="D55">
        <v>31674</v>
      </c>
      <c r="E55" s="26">
        <v>0.86270000000000002</v>
      </c>
    </row>
    <row r="56" spans="1:5">
      <c r="A56" t="s">
        <v>35</v>
      </c>
      <c r="B56" t="s">
        <v>26</v>
      </c>
      <c r="C56">
        <v>86176</v>
      </c>
      <c r="D56">
        <v>100294</v>
      </c>
      <c r="E56" s="26">
        <v>0.85919999999999996</v>
      </c>
    </row>
    <row r="57" spans="1:5">
      <c r="A57" t="s">
        <v>35</v>
      </c>
      <c r="B57" t="s">
        <v>27</v>
      </c>
      <c r="C57">
        <v>51354</v>
      </c>
      <c r="D57">
        <v>65696</v>
      </c>
      <c r="E57" s="26">
        <v>0.78169999999999995</v>
      </c>
    </row>
    <row r="58" spans="1:5">
      <c r="A58" t="s">
        <v>35</v>
      </c>
      <c r="B58" t="s">
        <v>28</v>
      </c>
      <c r="C58">
        <v>71236</v>
      </c>
      <c r="D58">
        <v>82476</v>
      </c>
      <c r="E58" s="26">
        <v>0.86370000000000002</v>
      </c>
    </row>
    <row r="59" spans="1:5">
      <c r="A59" t="s">
        <v>35</v>
      </c>
      <c r="B59" t="s">
        <v>29</v>
      </c>
      <c r="C59">
        <v>177692</v>
      </c>
      <c r="D59">
        <v>192087</v>
      </c>
      <c r="E59" s="26">
        <v>0.92510000000000003</v>
      </c>
    </row>
    <row r="60" spans="1:5">
      <c r="A60" t="s">
        <v>35</v>
      </c>
      <c r="B60" t="s">
        <v>30</v>
      </c>
      <c r="C60">
        <v>109839</v>
      </c>
      <c r="D60">
        <v>130516</v>
      </c>
      <c r="E60" s="26">
        <v>0.84160000000000001</v>
      </c>
    </row>
    <row r="61" spans="1:5">
      <c r="A61" t="s">
        <v>35</v>
      </c>
      <c r="B61" t="s">
        <v>31</v>
      </c>
      <c r="C61">
        <v>139136</v>
      </c>
      <c r="D61">
        <v>159661</v>
      </c>
      <c r="E61" s="26">
        <v>0.87139999999999995</v>
      </c>
    </row>
    <row r="62" spans="1:5" hidden="1">
      <c r="A62" t="s">
        <v>36</v>
      </c>
      <c r="B62" t="s">
        <v>20</v>
      </c>
      <c r="C62">
        <v>64486</v>
      </c>
      <c r="D62">
        <v>65657</v>
      </c>
      <c r="E62" s="26">
        <v>0.98219999999999996</v>
      </c>
    </row>
    <row r="63" spans="1:5" hidden="1">
      <c r="A63" t="s">
        <v>36</v>
      </c>
      <c r="B63" t="s">
        <v>21</v>
      </c>
      <c r="C63">
        <v>82895</v>
      </c>
      <c r="D63">
        <v>84242</v>
      </c>
      <c r="E63" s="26">
        <v>0.98399999999999999</v>
      </c>
    </row>
    <row r="64" spans="1:5" hidden="1">
      <c r="A64" t="s">
        <v>36</v>
      </c>
      <c r="B64" t="s">
        <v>22</v>
      </c>
      <c r="C64">
        <v>212289</v>
      </c>
      <c r="D64">
        <v>219819</v>
      </c>
      <c r="E64" s="26">
        <v>0.9657</v>
      </c>
    </row>
    <row r="65" spans="1:5" hidden="1">
      <c r="A65" t="s">
        <v>36</v>
      </c>
      <c r="B65" t="s">
        <v>23</v>
      </c>
      <c r="C65">
        <v>32385</v>
      </c>
      <c r="D65">
        <v>32934</v>
      </c>
      <c r="E65" s="26">
        <v>0.98329999999999995</v>
      </c>
    </row>
    <row r="66" spans="1:5" hidden="1">
      <c r="A66" t="s">
        <v>36</v>
      </c>
      <c r="B66" t="s">
        <v>24</v>
      </c>
      <c r="C66">
        <v>81427</v>
      </c>
      <c r="D66">
        <v>83812</v>
      </c>
      <c r="E66" s="26">
        <v>0.97150000000000003</v>
      </c>
    </row>
    <row r="67" spans="1:5" hidden="1">
      <c r="A67" t="s">
        <v>36</v>
      </c>
      <c r="B67" t="s">
        <v>25</v>
      </c>
      <c r="C67">
        <v>16980</v>
      </c>
      <c r="D67">
        <v>17204</v>
      </c>
      <c r="E67" s="26">
        <v>0.98699999999999999</v>
      </c>
    </row>
    <row r="68" spans="1:5" hidden="1">
      <c r="A68" t="s">
        <v>36</v>
      </c>
      <c r="B68" t="s">
        <v>26</v>
      </c>
      <c r="C68">
        <v>73218</v>
      </c>
      <c r="D68">
        <v>77330</v>
      </c>
      <c r="E68" s="26">
        <v>0.94679999999999997</v>
      </c>
    </row>
    <row r="69" spans="1:5" hidden="1">
      <c r="A69" t="s">
        <v>36</v>
      </c>
      <c r="B69" t="s">
        <v>27</v>
      </c>
      <c r="C69">
        <v>44446</v>
      </c>
      <c r="D69">
        <v>50349</v>
      </c>
      <c r="E69" s="26">
        <v>0.88280000000000003</v>
      </c>
    </row>
    <row r="70" spans="1:5" hidden="1">
      <c r="A70" t="s">
        <v>36</v>
      </c>
      <c r="B70" t="s">
        <v>28</v>
      </c>
      <c r="C70">
        <v>54037</v>
      </c>
      <c r="D70">
        <v>55009</v>
      </c>
      <c r="E70" s="26">
        <v>0.98229999999999995</v>
      </c>
    </row>
    <row r="71" spans="1:5" hidden="1">
      <c r="A71" t="s">
        <v>36</v>
      </c>
      <c r="B71" t="s">
        <v>29</v>
      </c>
      <c r="C71">
        <v>132264</v>
      </c>
      <c r="D71">
        <v>135866</v>
      </c>
      <c r="E71" s="26">
        <v>0.97350000000000003</v>
      </c>
    </row>
    <row r="72" spans="1:5" hidden="1">
      <c r="A72" t="s">
        <v>36</v>
      </c>
      <c r="B72" t="s">
        <v>30</v>
      </c>
      <c r="C72">
        <v>87813</v>
      </c>
      <c r="D72">
        <v>90145</v>
      </c>
      <c r="E72" s="26">
        <v>0.97409999999999997</v>
      </c>
    </row>
    <row r="73" spans="1:5" hidden="1">
      <c r="A73" t="s">
        <v>36</v>
      </c>
      <c r="B73" t="s">
        <v>31</v>
      </c>
      <c r="C73">
        <v>109685</v>
      </c>
      <c r="D73">
        <v>109957</v>
      </c>
      <c r="E73" s="26">
        <v>0.99750000000000005</v>
      </c>
    </row>
    <row r="74" spans="1:5" hidden="1">
      <c r="A74" t="s">
        <v>37</v>
      </c>
      <c r="B74" t="s">
        <v>20</v>
      </c>
      <c r="C74">
        <v>0</v>
      </c>
      <c r="D74">
        <v>1127</v>
      </c>
      <c r="E74" s="26">
        <v>0</v>
      </c>
    </row>
    <row r="75" spans="1:5" hidden="1">
      <c r="A75" t="s">
        <v>37</v>
      </c>
      <c r="B75" t="s">
        <v>21</v>
      </c>
      <c r="C75">
        <v>0</v>
      </c>
      <c r="D75">
        <v>1538</v>
      </c>
      <c r="E75" s="26">
        <v>0</v>
      </c>
    </row>
    <row r="76" spans="1:5" hidden="1">
      <c r="A76" t="s">
        <v>37</v>
      </c>
      <c r="B76" t="s">
        <v>22</v>
      </c>
      <c r="C76">
        <v>0</v>
      </c>
      <c r="D76">
        <v>8332</v>
      </c>
      <c r="E76" s="26">
        <v>0</v>
      </c>
    </row>
    <row r="77" spans="1:5" hidden="1">
      <c r="A77" t="s">
        <v>37</v>
      </c>
      <c r="B77" t="s">
        <v>23</v>
      </c>
      <c r="C77">
        <v>0</v>
      </c>
      <c r="D77">
        <v>1326</v>
      </c>
      <c r="E77" s="26">
        <v>0</v>
      </c>
    </row>
    <row r="78" spans="1:5" hidden="1">
      <c r="A78" t="s">
        <v>37</v>
      </c>
      <c r="B78" t="s">
        <v>24</v>
      </c>
      <c r="C78">
        <v>0</v>
      </c>
      <c r="D78">
        <v>2593</v>
      </c>
      <c r="E78" s="26">
        <v>0</v>
      </c>
    </row>
    <row r="79" spans="1:5" hidden="1">
      <c r="A79" t="s">
        <v>37</v>
      </c>
      <c r="B79" t="s">
        <v>25</v>
      </c>
      <c r="C79">
        <v>0</v>
      </c>
      <c r="D79">
        <v>130</v>
      </c>
      <c r="E79" s="26">
        <v>0</v>
      </c>
    </row>
    <row r="80" spans="1:5" hidden="1">
      <c r="A80" t="s">
        <v>37</v>
      </c>
      <c r="B80" t="s">
        <v>26</v>
      </c>
      <c r="C80">
        <v>0</v>
      </c>
      <c r="D80">
        <v>1067</v>
      </c>
      <c r="E80" s="26">
        <v>0</v>
      </c>
    </row>
    <row r="81" spans="1:19" hidden="1">
      <c r="A81" t="s">
        <v>37</v>
      </c>
      <c r="B81" t="s">
        <v>27</v>
      </c>
      <c r="C81">
        <v>0</v>
      </c>
      <c r="D81">
        <v>442</v>
      </c>
      <c r="E81" s="26">
        <v>0</v>
      </c>
    </row>
    <row r="82" spans="1:19" hidden="1">
      <c r="A82" t="s">
        <v>37</v>
      </c>
      <c r="B82" t="s">
        <v>28</v>
      </c>
      <c r="C82">
        <v>0</v>
      </c>
      <c r="D82">
        <v>1042</v>
      </c>
      <c r="E82" s="26">
        <v>0</v>
      </c>
    </row>
    <row r="83" spans="1:19" hidden="1">
      <c r="A83" t="s">
        <v>37</v>
      </c>
      <c r="B83" t="s">
        <v>29</v>
      </c>
      <c r="C83">
        <v>0</v>
      </c>
      <c r="D83">
        <v>6175</v>
      </c>
      <c r="E83" s="26">
        <v>0</v>
      </c>
    </row>
    <row r="84" spans="1:19" hidden="1">
      <c r="A84" t="s">
        <v>37</v>
      </c>
      <c r="B84" t="s">
        <v>30</v>
      </c>
      <c r="C84">
        <v>0</v>
      </c>
      <c r="D84">
        <v>1464</v>
      </c>
      <c r="E84" s="26">
        <v>0</v>
      </c>
    </row>
    <row r="85" spans="1:19" hidden="1">
      <c r="A85" t="s">
        <v>37</v>
      </c>
      <c r="B85" t="s">
        <v>31</v>
      </c>
      <c r="C85">
        <v>0</v>
      </c>
      <c r="D85">
        <v>334</v>
      </c>
      <c r="E85" s="26">
        <v>0</v>
      </c>
    </row>
    <row r="86" spans="1:19" hidden="1">
      <c r="A86" t="s">
        <v>38</v>
      </c>
      <c r="B86" t="s">
        <v>21</v>
      </c>
      <c r="C86">
        <v>0</v>
      </c>
      <c r="D86">
        <v>0</v>
      </c>
    </row>
    <row r="92" spans="1:19"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</row>
  </sheetData>
  <autoFilter ref="A1:E86" xr:uid="{00000000-0001-0000-0100-000000000000}">
    <filterColumn colId="0">
      <filters>
        <filter val="2026-10"/>
      </filters>
    </filterColumn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/>
  <cols>
    <col min="2" max="2" width="10.33203125" bestFit="1" customWidth="1"/>
  </cols>
  <sheetData>
    <row r="1" spans="1:3">
      <c r="A1" s="1" t="s">
        <v>15</v>
      </c>
      <c r="B1" s="1" t="s">
        <v>39</v>
      </c>
      <c r="C1" s="1" t="s">
        <v>40</v>
      </c>
    </row>
    <row r="2" spans="1:3">
      <c r="A2" t="s">
        <v>19</v>
      </c>
      <c r="B2" s="2">
        <v>46203</v>
      </c>
      <c r="C2">
        <v>16669223.32</v>
      </c>
    </row>
    <row r="3" spans="1:3">
      <c r="A3" t="s">
        <v>32</v>
      </c>
      <c r="B3" s="2">
        <v>46204</v>
      </c>
      <c r="C3">
        <v>17243965.309999999</v>
      </c>
    </row>
    <row r="4" spans="1:3">
      <c r="A4" t="s">
        <v>33</v>
      </c>
      <c r="B4" s="2">
        <v>46235</v>
      </c>
      <c r="C4">
        <v>10342579.199999999</v>
      </c>
    </row>
    <row r="5" spans="1:3">
      <c r="A5" t="s">
        <v>34</v>
      </c>
      <c r="B5" s="2">
        <v>46266</v>
      </c>
      <c r="C5">
        <v>9993961.6500000004</v>
      </c>
    </row>
    <row r="6" spans="1:3">
      <c r="A6" t="s">
        <v>35</v>
      </c>
      <c r="B6" s="2">
        <v>46319</v>
      </c>
      <c r="C6">
        <v>11657291.960000001</v>
      </c>
    </row>
    <row r="7" spans="1:3">
      <c r="A7" t="s">
        <v>36</v>
      </c>
      <c r="B7" s="2">
        <v>46327</v>
      </c>
      <c r="C7">
        <v>11025215.640000001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73"/>
  <sheetViews>
    <sheetView workbookViewId="0">
      <selection activeCell="E50" sqref="E50:E61"/>
    </sheetView>
  </sheetViews>
  <sheetFormatPr defaultRowHeight="14.4"/>
  <sheetData>
    <row r="1" spans="1:4">
      <c r="A1" s="1" t="s">
        <v>15</v>
      </c>
      <c r="B1" s="1" t="s">
        <v>41</v>
      </c>
      <c r="C1" s="1" t="s">
        <v>39</v>
      </c>
      <c r="D1" s="1" t="s">
        <v>40</v>
      </c>
    </row>
    <row r="2" spans="1:4" hidden="1">
      <c r="A2" t="s">
        <v>19</v>
      </c>
      <c r="B2" t="s">
        <v>24</v>
      </c>
      <c r="C2" s="2">
        <v>46203</v>
      </c>
      <c r="D2">
        <v>2612309.37</v>
      </c>
    </row>
    <row r="3" spans="1:4" hidden="1">
      <c r="A3" t="s">
        <v>19</v>
      </c>
      <c r="B3" t="s">
        <v>22</v>
      </c>
      <c r="C3" s="2">
        <v>46202</v>
      </c>
      <c r="D3">
        <v>2277697.17</v>
      </c>
    </row>
    <row r="4" spans="1:4" hidden="1">
      <c r="A4" t="s">
        <v>19</v>
      </c>
      <c r="B4" t="s">
        <v>31</v>
      </c>
      <c r="C4" s="2">
        <v>46203</v>
      </c>
      <c r="D4">
        <v>1782081.47</v>
      </c>
    </row>
    <row r="5" spans="1:4" hidden="1">
      <c r="A5" t="s">
        <v>19</v>
      </c>
      <c r="B5" t="s">
        <v>29</v>
      </c>
      <c r="C5" s="2">
        <v>46202</v>
      </c>
      <c r="D5">
        <v>1653262.5</v>
      </c>
    </row>
    <row r="6" spans="1:4" hidden="1">
      <c r="A6" t="s">
        <v>19</v>
      </c>
      <c r="B6" t="s">
        <v>21</v>
      </c>
      <c r="C6" s="2">
        <v>46203</v>
      </c>
      <c r="D6">
        <v>1623992.97</v>
      </c>
    </row>
    <row r="7" spans="1:4" hidden="1">
      <c r="A7" t="s">
        <v>19</v>
      </c>
      <c r="B7" t="s">
        <v>26</v>
      </c>
      <c r="C7" s="2">
        <v>46203</v>
      </c>
      <c r="D7">
        <v>1543251.61</v>
      </c>
    </row>
    <row r="8" spans="1:4" hidden="1">
      <c r="A8" t="s">
        <v>19</v>
      </c>
      <c r="B8" t="s">
        <v>27</v>
      </c>
      <c r="C8" s="2">
        <v>46203</v>
      </c>
      <c r="D8">
        <v>1348143.28</v>
      </c>
    </row>
    <row r="9" spans="1:4" hidden="1">
      <c r="A9" t="s">
        <v>19</v>
      </c>
      <c r="B9" t="s">
        <v>28</v>
      </c>
      <c r="C9" s="2">
        <v>46202</v>
      </c>
      <c r="D9">
        <v>1189058.55</v>
      </c>
    </row>
    <row r="10" spans="1:4" hidden="1">
      <c r="A10" t="s">
        <v>19</v>
      </c>
      <c r="B10" t="s">
        <v>20</v>
      </c>
      <c r="C10" s="2">
        <v>46203</v>
      </c>
      <c r="D10">
        <v>1012875.89</v>
      </c>
    </row>
    <row r="11" spans="1:4" hidden="1">
      <c r="A11" t="s">
        <v>19</v>
      </c>
      <c r="B11" t="s">
        <v>30</v>
      </c>
      <c r="C11" s="2">
        <v>46202</v>
      </c>
      <c r="D11">
        <v>982738.38</v>
      </c>
    </row>
    <row r="12" spans="1:4" hidden="1">
      <c r="A12" t="s">
        <v>19</v>
      </c>
      <c r="B12" t="s">
        <v>25</v>
      </c>
      <c r="C12" s="2">
        <v>46202</v>
      </c>
      <c r="D12">
        <v>498888.61</v>
      </c>
    </row>
    <row r="13" spans="1:4" hidden="1">
      <c r="A13" t="s">
        <v>19</v>
      </c>
      <c r="B13" t="s">
        <v>23</v>
      </c>
      <c r="C13" s="2">
        <v>46203</v>
      </c>
      <c r="D13">
        <v>382477.89</v>
      </c>
    </row>
    <row r="14" spans="1:4" hidden="1">
      <c r="A14" t="s">
        <v>32</v>
      </c>
      <c r="B14" t="s">
        <v>24</v>
      </c>
      <c r="C14" s="2">
        <v>46204</v>
      </c>
      <c r="D14">
        <v>2698206.57</v>
      </c>
    </row>
    <row r="15" spans="1:4" hidden="1">
      <c r="A15" t="s">
        <v>32</v>
      </c>
      <c r="B15" t="s">
        <v>22</v>
      </c>
      <c r="C15" s="2">
        <v>46205</v>
      </c>
      <c r="D15">
        <v>2174538.11</v>
      </c>
    </row>
    <row r="16" spans="1:4" hidden="1">
      <c r="A16" t="s">
        <v>32</v>
      </c>
      <c r="B16" t="s">
        <v>29</v>
      </c>
      <c r="C16" s="2">
        <v>46205</v>
      </c>
      <c r="D16">
        <v>1987432.76</v>
      </c>
    </row>
    <row r="17" spans="1:4" hidden="1">
      <c r="A17" t="s">
        <v>32</v>
      </c>
      <c r="B17" t="s">
        <v>31</v>
      </c>
      <c r="C17" s="2">
        <v>46204</v>
      </c>
      <c r="D17">
        <v>1828501.84</v>
      </c>
    </row>
    <row r="18" spans="1:4" hidden="1">
      <c r="A18" t="s">
        <v>32</v>
      </c>
      <c r="B18" t="s">
        <v>21</v>
      </c>
      <c r="C18" s="2">
        <v>46204</v>
      </c>
      <c r="D18">
        <v>1577270.38</v>
      </c>
    </row>
    <row r="19" spans="1:4" hidden="1">
      <c r="A19" t="s">
        <v>32</v>
      </c>
      <c r="B19" t="s">
        <v>26</v>
      </c>
      <c r="C19" s="2">
        <v>46204</v>
      </c>
      <c r="D19">
        <v>1554646</v>
      </c>
    </row>
    <row r="20" spans="1:4" hidden="1">
      <c r="A20" t="s">
        <v>32</v>
      </c>
      <c r="B20" t="s">
        <v>27</v>
      </c>
      <c r="C20" s="2">
        <v>46204</v>
      </c>
      <c r="D20">
        <v>1321610</v>
      </c>
    </row>
    <row r="21" spans="1:4" hidden="1">
      <c r="A21" t="s">
        <v>32</v>
      </c>
      <c r="B21" t="s">
        <v>30</v>
      </c>
      <c r="C21" s="2">
        <v>46205</v>
      </c>
      <c r="D21">
        <v>1239278.1299999999</v>
      </c>
    </row>
    <row r="22" spans="1:4" hidden="1">
      <c r="A22" t="s">
        <v>32</v>
      </c>
      <c r="B22" t="s">
        <v>28</v>
      </c>
      <c r="C22" s="2">
        <v>46205</v>
      </c>
      <c r="D22">
        <v>1173051.6499999999</v>
      </c>
    </row>
    <row r="23" spans="1:4" hidden="1">
      <c r="A23" t="s">
        <v>32</v>
      </c>
      <c r="B23" t="s">
        <v>20</v>
      </c>
      <c r="C23" s="2">
        <v>46204</v>
      </c>
      <c r="D23">
        <v>1096324.83</v>
      </c>
    </row>
    <row r="24" spans="1:4" hidden="1">
      <c r="A24" t="s">
        <v>32</v>
      </c>
      <c r="B24" t="s">
        <v>23</v>
      </c>
      <c r="C24" s="2">
        <v>46211</v>
      </c>
      <c r="D24">
        <v>650576.99</v>
      </c>
    </row>
    <row r="25" spans="1:4" hidden="1">
      <c r="A25" t="s">
        <v>32</v>
      </c>
      <c r="B25" t="s">
        <v>25</v>
      </c>
      <c r="C25" s="2">
        <v>46204</v>
      </c>
      <c r="D25">
        <v>475587.69</v>
      </c>
    </row>
    <row r="26" spans="1:4" hidden="1">
      <c r="A26" t="s">
        <v>33</v>
      </c>
      <c r="B26" t="s">
        <v>24</v>
      </c>
      <c r="C26" s="2">
        <v>46235</v>
      </c>
      <c r="D26">
        <v>1548351.99</v>
      </c>
    </row>
    <row r="27" spans="1:4" hidden="1">
      <c r="A27" t="s">
        <v>33</v>
      </c>
      <c r="B27" t="s">
        <v>29</v>
      </c>
      <c r="C27" s="2">
        <v>46236</v>
      </c>
      <c r="D27">
        <v>1300216.08</v>
      </c>
    </row>
    <row r="28" spans="1:4" hidden="1">
      <c r="A28" t="s">
        <v>33</v>
      </c>
      <c r="B28" t="s">
        <v>22</v>
      </c>
      <c r="C28" s="2">
        <v>46237</v>
      </c>
      <c r="D28">
        <v>1195811.97</v>
      </c>
    </row>
    <row r="29" spans="1:4" hidden="1">
      <c r="A29" t="s">
        <v>33</v>
      </c>
      <c r="B29" t="s">
        <v>31</v>
      </c>
      <c r="C29" s="2">
        <v>46239</v>
      </c>
      <c r="D29">
        <v>1075193.93</v>
      </c>
    </row>
    <row r="30" spans="1:4" hidden="1">
      <c r="A30" t="s">
        <v>33</v>
      </c>
      <c r="B30" t="s">
        <v>20</v>
      </c>
      <c r="C30" s="2">
        <v>46236</v>
      </c>
      <c r="D30">
        <v>975937.23</v>
      </c>
    </row>
    <row r="31" spans="1:4" hidden="1">
      <c r="A31" t="s">
        <v>33</v>
      </c>
      <c r="B31" t="s">
        <v>26</v>
      </c>
      <c r="C31" s="2">
        <v>46235</v>
      </c>
      <c r="D31">
        <v>924653.5</v>
      </c>
    </row>
    <row r="32" spans="1:4" hidden="1">
      <c r="A32" t="s">
        <v>33</v>
      </c>
      <c r="B32" t="s">
        <v>21</v>
      </c>
      <c r="C32" s="2">
        <v>46237</v>
      </c>
      <c r="D32">
        <v>874650.89</v>
      </c>
    </row>
    <row r="33" spans="1:4" hidden="1">
      <c r="A33" t="s">
        <v>33</v>
      </c>
      <c r="B33" t="s">
        <v>30</v>
      </c>
      <c r="C33" s="2">
        <v>46236</v>
      </c>
      <c r="D33">
        <v>851383.78</v>
      </c>
    </row>
    <row r="34" spans="1:4" hidden="1">
      <c r="A34" t="s">
        <v>33</v>
      </c>
      <c r="B34" t="s">
        <v>23</v>
      </c>
      <c r="C34" s="2">
        <v>46256</v>
      </c>
      <c r="D34">
        <v>611233.18999999994</v>
      </c>
    </row>
    <row r="35" spans="1:4" hidden="1">
      <c r="A35" t="s">
        <v>33</v>
      </c>
      <c r="B35" t="s">
        <v>27</v>
      </c>
      <c r="C35" s="2">
        <v>46237</v>
      </c>
      <c r="D35">
        <v>602686.04</v>
      </c>
    </row>
    <row r="36" spans="1:4" hidden="1">
      <c r="A36" t="s">
        <v>33</v>
      </c>
      <c r="B36" t="s">
        <v>28</v>
      </c>
      <c r="C36" s="2">
        <v>46260</v>
      </c>
      <c r="D36">
        <v>455896.74</v>
      </c>
    </row>
    <row r="37" spans="1:4" hidden="1">
      <c r="A37" t="s">
        <v>33</v>
      </c>
      <c r="B37" t="s">
        <v>25</v>
      </c>
      <c r="C37" s="2">
        <v>46252</v>
      </c>
      <c r="D37">
        <v>244996.85</v>
      </c>
    </row>
    <row r="38" spans="1:4" hidden="1">
      <c r="A38" t="s">
        <v>34</v>
      </c>
      <c r="B38" t="s">
        <v>24</v>
      </c>
      <c r="C38" s="2">
        <v>46266</v>
      </c>
      <c r="D38">
        <v>1524973.02</v>
      </c>
    </row>
    <row r="39" spans="1:4" hidden="1">
      <c r="A39" t="s">
        <v>34</v>
      </c>
      <c r="B39" t="s">
        <v>29</v>
      </c>
      <c r="C39" s="2">
        <v>46268</v>
      </c>
      <c r="D39">
        <v>1244864.2</v>
      </c>
    </row>
    <row r="40" spans="1:4" hidden="1">
      <c r="A40" t="s">
        <v>34</v>
      </c>
      <c r="B40" t="s">
        <v>22</v>
      </c>
      <c r="C40" s="2">
        <v>46289</v>
      </c>
      <c r="D40">
        <v>1237266.92</v>
      </c>
    </row>
    <row r="41" spans="1:4" hidden="1">
      <c r="A41" t="s">
        <v>34</v>
      </c>
      <c r="B41" t="s">
        <v>31</v>
      </c>
      <c r="C41" s="2">
        <v>46289</v>
      </c>
      <c r="D41">
        <v>1019704.5</v>
      </c>
    </row>
    <row r="42" spans="1:4" hidden="1">
      <c r="A42" t="s">
        <v>34</v>
      </c>
      <c r="B42" t="s">
        <v>20</v>
      </c>
      <c r="C42" s="2">
        <v>46268</v>
      </c>
      <c r="D42">
        <v>962725.46</v>
      </c>
    </row>
    <row r="43" spans="1:4" hidden="1">
      <c r="A43" t="s">
        <v>34</v>
      </c>
      <c r="B43" t="s">
        <v>21</v>
      </c>
      <c r="C43" s="2">
        <v>46286</v>
      </c>
      <c r="D43">
        <v>952013.8</v>
      </c>
    </row>
    <row r="44" spans="1:4" hidden="1">
      <c r="A44" t="s">
        <v>34</v>
      </c>
      <c r="B44" t="s">
        <v>26</v>
      </c>
      <c r="C44" s="2">
        <v>46271</v>
      </c>
      <c r="D44">
        <v>855024.02</v>
      </c>
    </row>
    <row r="45" spans="1:4" hidden="1">
      <c r="A45" t="s">
        <v>34</v>
      </c>
      <c r="B45" t="s">
        <v>30</v>
      </c>
      <c r="C45" s="2">
        <v>46278</v>
      </c>
      <c r="D45">
        <v>808220.81</v>
      </c>
    </row>
    <row r="46" spans="1:4" hidden="1">
      <c r="A46" t="s">
        <v>34</v>
      </c>
      <c r="B46" t="s">
        <v>23</v>
      </c>
      <c r="C46" s="2">
        <v>46270</v>
      </c>
      <c r="D46">
        <v>592082.77</v>
      </c>
    </row>
    <row r="47" spans="1:4" hidden="1">
      <c r="A47" t="s">
        <v>34</v>
      </c>
      <c r="B47" t="s">
        <v>27</v>
      </c>
      <c r="C47" s="2">
        <v>46269</v>
      </c>
      <c r="D47">
        <v>567017.46</v>
      </c>
    </row>
    <row r="48" spans="1:4" hidden="1">
      <c r="A48" t="s">
        <v>34</v>
      </c>
      <c r="B48" t="s">
        <v>28</v>
      </c>
      <c r="C48" s="2">
        <v>46295</v>
      </c>
      <c r="D48">
        <v>478460.62</v>
      </c>
    </row>
    <row r="49" spans="1:5" hidden="1">
      <c r="A49" t="s">
        <v>34</v>
      </c>
      <c r="B49" t="s">
        <v>25</v>
      </c>
      <c r="C49" s="2">
        <v>46288</v>
      </c>
      <c r="D49">
        <v>252812.03</v>
      </c>
    </row>
    <row r="50" spans="1:5">
      <c r="A50" t="s">
        <v>35</v>
      </c>
      <c r="B50" t="s">
        <v>20</v>
      </c>
      <c r="C50" s="2">
        <v>46317</v>
      </c>
      <c r="D50">
        <v>1097667.28</v>
      </c>
      <c r="E50" s="3">
        <f>D50/1000</f>
        <v>1097.6672800000001</v>
      </c>
    </row>
    <row r="51" spans="1:5">
      <c r="A51" t="s">
        <v>35</v>
      </c>
      <c r="B51" t="s">
        <v>21</v>
      </c>
      <c r="C51" s="2">
        <v>46316</v>
      </c>
      <c r="D51">
        <v>1071848.54</v>
      </c>
      <c r="E51" s="3">
        <f t="shared" ref="E51:E61" si="0">D51/1000</f>
        <v>1071.84854</v>
      </c>
    </row>
    <row r="52" spans="1:5">
      <c r="A52" t="s">
        <v>35</v>
      </c>
      <c r="B52" t="s">
        <v>22</v>
      </c>
      <c r="C52" s="2">
        <v>46316</v>
      </c>
      <c r="D52">
        <v>1507166.77</v>
      </c>
      <c r="E52" s="3">
        <f t="shared" si="0"/>
        <v>1507.16677</v>
      </c>
    </row>
    <row r="53" spans="1:5">
      <c r="A53" t="s">
        <v>35</v>
      </c>
      <c r="B53" t="s">
        <v>23</v>
      </c>
      <c r="C53" s="2">
        <v>46322</v>
      </c>
      <c r="D53">
        <v>771624.9</v>
      </c>
      <c r="E53" s="3">
        <f t="shared" si="0"/>
        <v>771.62490000000003</v>
      </c>
    </row>
    <row r="54" spans="1:5">
      <c r="A54" t="s">
        <v>35</v>
      </c>
      <c r="B54" t="s">
        <v>24</v>
      </c>
      <c r="C54" s="2">
        <v>46319</v>
      </c>
      <c r="D54">
        <v>1460517.37</v>
      </c>
      <c r="E54" s="3">
        <f t="shared" si="0"/>
        <v>1460.51737</v>
      </c>
    </row>
    <row r="55" spans="1:5">
      <c r="A55" t="s">
        <v>35</v>
      </c>
      <c r="B55" t="s">
        <v>25</v>
      </c>
      <c r="C55" s="2">
        <v>46317</v>
      </c>
      <c r="D55">
        <v>322391.99</v>
      </c>
      <c r="E55" s="3">
        <f t="shared" si="0"/>
        <v>322.39198999999996</v>
      </c>
    </row>
    <row r="56" spans="1:5">
      <c r="A56" t="s">
        <v>35</v>
      </c>
      <c r="B56" t="s">
        <v>26</v>
      </c>
      <c r="C56" s="2">
        <v>46317</v>
      </c>
      <c r="D56">
        <v>895891.81</v>
      </c>
      <c r="E56" s="3">
        <f t="shared" si="0"/>
        <v>895.89181000000008</v>
      </c>
    </row>
    <row r="57" spans="1:5">
      <c r="A57" t="s">
        <v>35</v>
      </c>
      <c r="B57" t="s">
        <v>27</v>
      </c>
      <c r="C57" s="2">
        <v>46316</v>
      </c>
      <c r="D57">
        <v>600948.9</v>
      </c>
      <c r="E57" s="3">
        <f t="shared" si="0"/>
        <v>600.94889999999998</v>
      </c>
    </row>
    <row r="58" spans="1:5">
      <c r="A58" t="s">
        <v>35</v>
      </c>
      <c r="B58" t="s">
        <v>28</v>
      </c>
      <c r="C58" s="2">
        <v>46319</v>
      </c>
      <c r="D58">
        <v>771967.81</v>
      </c>
      <c r="E58" s="3">
        <f t="shared" si="0"/>
        <v>771.9678100000001</v>
      </c>
    </row>
    <row r="59" spans="1:5">
      <c r="A59" t="s">
        <v>35</v>
      </c>
      <c r="B59" t="s">
        <v>29</v>
      </c>
      <c r="C59" s="2">
        <v>46317</v>
      </c>
      <c r="D59">
        <v>1523782.17</v>
      </c>
      <c r="E59" s="3">
        <f t="shared" si="0"/>
        <v>1523.78217</v>
      </c>
    </row>
    <row r="60" spans="1:5">
      <c r="A60" t="s">
        <v>35</v>
      </c>
      <c r="B60" t="s">
        <v>30</v>
      </c>
      <c r="C60" s="2">
        <v>46322</v>
      </c>
      <c r="D60">
        <v>977776.62</v>
      </c>
      <c r="E60" s="3">
        <f t="shared" si="0"/>
        <v>977.77661999999998</v>
      </c>
    </row>
    <row r="61" spans="1:5">
      <c r="A61" t="s">
        <v>35</v>
      </c>
      <c r="B61" t="s">
        <v>31</v>
      </c>
      <c r="C61" s="2">
        <v>46318</v>
      </c>
      <c r="D61">
        <v>1225136.1200000001</v>
      </c>
      <c r="E61" s="3">
        <f t="shared" si="0"/>
        <v>1225.1361200000001</v>
      </c>
    </row>
    <row r="62" spans="1:5" hidden="1">
      <c r="A62" t="s">
        <v>36</v>
      </c>
      <c r="B62" t="s">
        <v>24</v>
      </c>
      <c r="C62" s="2">
        <v>46333</v>
      </c>
      <c r="D62">
        <v>1431873.71</v>
      </c>
    </row>
    <row r="63" spans="1:5" hidden="1">
      <c r="A63" t="s">
        <v>36</v>
      </c>
      <c r="B63" t="s">
        <v>29</v>
      </c>
      <c r="C63" s="2">
        <v>46327</v>
      </c>
      <c r="D63">
        <v>1357878.47</v>
      </c>
    </row>
    <row r="64" spans="1:5" hidden="1">
      <c r="A64" t="s">
        <v>36</v>
      </c>
      <c r="B64" t="s">
        <v>22</v>
      </c>
      <c r="C64" s="2">
        <v>46327</v>
      </c>
      <c r="D64">
        <v>1329029.98</v>
      </c>
    </row>
    <row r="65" spans="1:4" hidden="1">
      <c r="A65" t="s">
        <v>36</v>
      </c>
      <c r="B65" t="s">
        <v>31</v>
      </c>
      <c r="C65" s="2">
        <v>46334</v>
      </c>
      <c r="D65">
        <v>1115461.08</v>
      </c>
    </row>
    <row r="66" spans="1:4" hidden="1">
      <c r="A66" t="s">
        <v>36</v>
      </c>
      <c r="B66" t="s">
        <v>20</v>
      </c>
      <c r="C66" s="2">
        <v>46345</v>
      </c>
      <c r="D66">
        <v>1063354.72</v>
      </c>
    </row>
    <row r="67" spans="1:4" hidden="1">
      <c r="A67" t="s">
        <v>36</v>
      </c>
      <c r="B67" t="s">
        <v>21</v>
      </c>
      <c r="C67" s="2">
        <v>46327</v>
      </c>
      <c r="D67">
        <v>910525.19</v>
      </c>
    </row>
    <row r="68" spans="1:4" hidden="1">
      <c r="A68" t="s">
        <v>36</v>
      </c>
      <c r="B68" t="s">
        <v>30</v>
      </c>
      <c r="C68" s="2">
        <v>46329</v>
      </c>
      <c r="D68">
        <v>902579.9</v>
      </c>
    </row>
    <row r="69" spans="1:4" hidden="1">
      <c r="A69" t="s">
        <v>36</v>
      </c>
      <c r="B69" t="s">
        <v>26</v>
      </c>
      <c r="C69" s="2">
        <v>46335</v>
      </c>
      <c r="D69">
        <v>873082.05</v>
      </c>
    </row>
    <row r="70" spans="1:4" hidden="1">
      <c r="A70" t="s">
        <v>36</v>
      </c>
      <c r="B70" t="s">
        <v>23</v>
      </c>
      <c r="C70" s="2">
        <v>46328</v>
      </c>
      <c r="D70">
        <v>760522.99</v>
      </c>
    </row>
    <row r="71" spans="1:4" hidden="1">
      <c r="A71" t="s">
        <v>36</v>
      </c>
      <c r="B71" t="s">
        <v>28</v>
      </c>
      <c r="C71" s="2">
        <v>46328</v>
      </c>
      <c r="D71">
        <v>650642.81999999995</v>
      </c>
    </row>
    <row r="72" spans="1:4" hidden="1">
      <c r="A72" t="s">
        <v>36</v>
      </c>
      <c r="B72" t="s">
        <v>27</v>
      </c>
      <c r="C72" s="2">
        <v>46327</v>
      </c>
      <c r="D72">
        <v>564928.02</v>
      </c>
    </row>
    <row r="73" spans="1:4" hidden="1">
      <c r="A73" t="s">
        <v>36</v>
      </c>
      <c r="B73" t="s">
        <v>25</v>
      </c>
      <c r="C73" s="2">
        <v>46330</v>
      </c>
      <c r="D73">
        <v>324040.69</v>
      </c>
    </row>
  </sheetData>
  <autoFilter ref="A1:D73" xr:uid="{00000000-0001-0000-0300-000000000000}">
    <filterColumn colId="0">
      <filters>
        <filter val="2026-10"/>
      </filters>
    </filterColumn>
    <sortState xmlns:xlrd2="http://schemas.microsoft.com/office/spreadsheetml/2017/richdata2" ref="A50:D61">
      <sortCondition ref="B1:B73"/>
    </sortState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9B4D-ABD8-49B5-B154-C0F16DA1864F}">
  <sheetPr filterMode="1"/>
  <dimension ref="A1:AN148"/>
  <sheetViews>
    <sheetView tabSelected="1" topLeftCell="W1" zoomScale="95" zoomScaleNormal="95" workbookViewId="0">
      <selection activeCell="AM21" sqref="AM21"/>
    </sheetView>
  </sheetViews>
  <sheetFormatPr defaultRowHeight="14.4"/>
  <cols>
    <col min="1" max="1" width="26.77734375" customWidth="1"/>
    <col min="2" max="2" width="15.77734375" bestFit="1" customWidth="1"/>
    <col min="3" max="3" width="11.5546875" bestFit="1" customWidth="1"/>
    <col min="4" max="4" width="11.6640625" bestFit="1" customWidth="1"/>
    <col min="5" max="5" width="11.5546875" bestFit="1" customWidth="1"/>
    <col min="6" max="6" width="11.21875" bestFit="1" customWidth="1"/>
    <col min="7" max="7" width="11.5546875" bestFit="1" customWidth="1"/>
    <col min="8" max="8" width="10.6640625" bestFit="1" customWidth="1"/>
    <col min="9" max="10" width="11.5546875" bestFit="1" customWidth="1"/>
    <col min="11" max="11" width="11.6640625" bestFit="1" customWidth="1"/>
    <col min="12" max="13" width="11.21875" bestFit="1" customWidth="1"/>
    <col min="14" max="14" width="11" bestFit="1" customWidth="1"/>
    <col min="15" max="15" width="12" bestFit="1" customWidth="1"/>
    <col min="25" max="25" width="21.33203125" customWidth="1"/>
    <col min="26" max="26" width="29.33203125" customWidth="1"/>
    <col min="27" max="27" width="14" bestFit="1" customWidth="1"/>
  </cols>
  <sheetData>
    <row r="1" spans="1:37">
      <c r="A1" s="5" t="s">
        <v>15</v>
      </c>
      <c r="B1" t="s">
        <v>35</v>
      </c>
    </row>
    <row r="2" spans="1:37" ht="23.4"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Z2" s="41"/>
      <c r="AA2" s="42" t="s">
        <v>96</v>
      </c>
      <c r="AB2" s="42" t="s">
        <v>97</v>
      </c>
      <c r="AC2" s="42" t="s">
        <v>104</v>
      </c>
      <c r="AD2" s="42" t="s">
        <v>105</v>
      </c>
      <c r="AE2" s="42" t="s">
        <v>106</v>
      </c>
      <c r="AF2" t="s">
        <v>95</v>
      </c>
      <c r="AG2" t="s">
        <v>98</v>
      </c>
      <c r="AH2" t="s">
        <v>99</v>
      </c>
      <c r="AI2" t="s">
        <v>100</v>
      </c>
      <c r="AJ2" t="s">
        <v>101</v>
      </c>
      <c r="AK2" t="s">
        <v>102</v>
      </c>
    </row>
    <row r="3" spans="1:37" ht="31.2">
      <c r="A3" s="5" t="s">
        <v>109</v>
      </c>
      <c r="B3" s="5" t="s">
        <v>107</v>
      </c>
      <c r="Z3" s="43" t="s">
        <v>108</v>
      </c>
      <c r="AA3" s="43" t="s">
        <v>21</v>
      </c>
      <c r="AB3" s="43" t="s">
        <v>22</v>
      </c>
      <c r="AC3" s="43" t="s">
        <v>29</v>
      </c>
      <c r="AD3" s="43" t="s">
        <v>30</v>
      </c>
      <c r="AE3" s="43" t="s">
        <v>31</v>
      </c>
      <c r="AF3" s="53" t="s">
        <v>20</v>
      </c>
      <c r="AG3" s="53" t="s">
        <v>23</v>
      </c>
      <c r="AH3" s="53" t="s">
        <v>24</v>
      </c>
      <c r="AI3" s="53" t="s">
        <v>25</v>
      </c>
      <c r="AJ3" s="58" t="s">
        <v>26</v>
      </c>
      <c r="AK3" s="58" t="s">
        <v>27</v>
      </c>
    </row>
    <row r="4" spans="1:37" ht="15.6">
      <c r="A4" s="5" t="s">
        <v>108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110</v>
      </c>
      <c r="Z4" s="44" t="s">
        <v>46</v>
      </c>
      <c r="AA4" s="44">
        <v>268</v>
      </c>
      <c r="AB4" s="44">
        <v>481</v>
      </c>
      <c r="AC4" s="44">
        <v>303</v>
      </c>
      <c r="AD4" s="44">
        <v>201</v>
      </c>
      <c r="AE4" s="44">
        <v>249</v>
      </c>
      <c r="AF4" s="52">
        <v>217.23525000000001</v>
      </c>
      <c r="AG4" s="52">
        <v>44.240220000000001</v>
      </c>
      <c r="AH4" s="52">
        <v>56.326680000000003</v>
      </c>
      <c r="AI4" s="52">
        <v>70.511769999999999</v>
      </c>
      <c r="AJ4" s="52">
        <v>152.46956</v>
      </c>
      <c r="AK4" s="52">
        <v>111.14206</v>
      </c>
    </row>
    <row r="5" spans="1:37" ht="15.6">
      <c r="A5" s="6" t="s">
        <v>46</v>
      </c>
      <c r="B5" s="3">
        <v>217.23525000000001</v>
      </c>
      <c r="C5" s="3">
        <v>267.60768999999999</v>
      </c>
      <c r="D5" s="3">
        <v>480.98993999999999</v>
      </c>
      <c r="E5" s="3">
        <v>44.240220000000001</v>
      </c>
      <c r="F5" s="3">
        <v>56.326680000000003</v>
      </c>
      <c r="G5" s="3">
        <v>70.511769999999999</v>
      </c>
      <c r="H5" s="3">
        <v>152.46956</v>
      </c>
      <c r="I5" s="3">
        <v>111.14206</v>
      </c>
      <c r="J5" s="3">
        <v>199.15335000000002</v>
      </c>
      <c r="K5" s="3">
        <v>303.33287000000001</v>
      </c>
      <c r="L5" s="3">
        <v>200.80754000000002</v>
      </c>
      <c r="M5" s="3">
        <v>249.48095999999998</v>
      </c>
      <c r="N5" s="3">
        <v>2353.2978899999998</v>
      </c>
      <c r="Z5" s="42" t="s">
        <v>44</v>
      </c>
      <c r="AA5" s="42">
        <v>19</v>
      </c>
      <c r="AB5" s="42">
        <v>238</v>
      </c>
      <c r="AC5" s="42">
        <v>317</v>
      </c>
      <c r="AD5" s="42">
        <v>196</v>
      </c>
      <c r="AE5" s="42">
        <v>235</v>
      </c>
      <c r="AF5" s="52">
        <v>296.54185999999999</v>
      </c>
      <c r="AG5" s="52">
        <v>126.58977</v>
      </c>
      <c r="AH5" s="52">
        <v>199.40054000000001</v>
      </c>
      <c r="AI5" s="52">
        <v>89.827640000000002</v>
      </c>
      <c r="AJ5" s="52">
        <v>103.56663</v>
      </c>
      <c r="AK5" s="52">
        <v>65.299790000000002</v>
      </c>
    </row>
    <row r="6" spans="1:37" ht="15.6">
      <c r="A6" s="6" t="s">
        <v>44</v>
      </c>
      <c r="B6" s="3">
        <v>296.54185999999999</v>
      </c>
      <c r="C6" s="3">
        <v>19.131060000000002</v>
      </c>
      <c r="D6" s="3">
        <v>237.81437</v>
      </c>
      <c r="E6" s="3">
        <v>126.58977</v>
      </c>
      <c r="F6" s="3">
        <v>199.40054000000001</v>
      </c>
      <c r="G6" s="3">
        <v>89.827640000000002</v>
      </c>
      <c r="H6" s="3">
        <v>103.56663</v>
      </c>
      <c r="I6" s="3">
        <v>65.299790000000002</v>
      </c>
      <c r="J6" s="3">
        <v>259.64494999999999</v>
      </c>
      <c r="K6" s="3">
        <v>317.28210999999999</v>
      </c>
      <c r="L6" s="3">
        <v>195.61529999999999</v>
      </c>
      <c r="M6" s="3">
        <v>235.32210000000001</v>
      </c>
      <c r="N6" s="3">
        <v>2146.0361199999998</v>
      </c>
      <c r="Z6" s="42" t="s">
        <v>47</v>
      </c>
      <c r="AA6" s="42">
        <v>82</v>
      </c>
      <c r="AB6" s="42">
        <v>82</v>
      </c>
      <c r="AC6" s="42">
        <v>91</v>
      </c>
      <c r="AD6" s="42">
        <v>55</v>
      </c>
      <c r="AE6" s="42">
        <v>71</v>
      </c>
      <c r="AF6" s="52">
        <v>83.123410000000007</v>
      </c>
      <c r="AG6" s="52">
        <v>44.125120000000003</v>
      </c>
      <c r="AH6" s="52">
        <v>65.156469999999999</v>
      </c>
      <c r="AI6" s="52">
        <v>31.179740000000002</v>
      </c>
      <c r="AJ6" s="52">
        <v>73.475100000000012</v>
      </c>
      <c r="AK6" s="52">
        <v>47.484910000000006</v>
      </c>
    </row>
    <row r="7" spans="1:37" ht="15.6">
      <c r="A7" s="6" t="s">
        <v>47</v>
      </c>
      <c r="B7" s="3">
        <v>83.123410000000007</v>
      </c>
      <c r="C7" s="3">
        <v>81.786149999999992</v>
      </c>
      <c r="D7" s="3">
        <v>81.641270000000006</v>
      </c>
      <c r="E7" s="3">
        <v>44.125120000000003</v>
      </c>
      <c r="F7" s="3">
        <v>65.156469999999999</v>
      </c>
      <c r="G7" s="3">
        <v>31.179740000000002</v>
      </c>
      <c r="H7" s="3">
        <v>73.475100000000012</v>
      </c>
      <c r="I7" s="3">
        <v>47.484910000000006</v>
      </c>
      <c r="J7" s="3">
        <v>41.588889999999999</v>
      </c>
      <c r="K7" s="3">
        <v>91.183520000000001</v>
      </c>
      <c r="L7" s="3">
        <v>55.165519999999994</v>
      </c>
      <c r="M7" s="3">
        <v>71.279250000000005</v>
      </c>
      <c r="N7" s="3">
        <v>767.1893500000001</v>
      </c>
      <c r="Z7" s="42" t="s">
        <v>45</v>
      </c>
      <c r="AA7" s="42">
        <v>199</v>
      </c>
      <c r="AB7" s="42">
        <v>305</v>
      </c>
      <c r="AC7" s="42">
        <v>416</v>
      </c>
      <c r="AD7" s="42">
        <v>283</v>
      </c>
      <c r="AE7" s="42">
        <v>352</v>
      </c>
      <c r="AF7" s="52">
        <v>183.71033</v>
      </c>
      <c r="AG7" s="52">
        <v>132.18975</v>
      </c>
      <c r="AH7" s="52">
        <v>252.20570000000001</v>
      </c>
      <c r="AI7" s="52">
        <v>48.881480000000003</v>
      </c>
      <c r="AJ7" s="52">
        <v>331.92491999999999</v>
      </c>
      <c r="AK7" s="52">
        <v>218.87679999999997</v>
      </c>
    </row>
    <row r="8" spans="1:37" ht="15.6">
      <c r="A8" s="6" t="s">
        <v>45</v>
      </c>
      <c r="B8" s="3">
        <v>183.71033</v>
      </c>
      <c r="C8" s="3">
        <v>198.99721</v>
      </c>
      <c r="D8" s="3">
        <v>305.22221000000002</v>
      </c>
      <c r="E8" s="3">
        <v>132.18975</v>
      </c>
      <c r="F8" s="3">
        <v>252.20570000000001</v>
      </c>
      <c r="G8" s="3">
        <v>48.881480000000003</v>
      </c>
      <c r="H8" s="3">
        <v>331.92491999999999</v>
      </c>
      <c r="I8" s="3">
        <v>218.87679999999997</v>
      </c>
      <c r="J8" s="3">
        <v>90.841100000000012</v>
      </c>
      <c r="K8" s="3">
        <v>415.55676</v>
      </c>
      <c r="L8" s="3">
        <v>283.40141999999997</v>
      </c>
      <c r="M8" s="3">
        <v>352.32785999999999</v>
      </c>
      <c r="N8" s="3">
        <v>2814.1355400000002</v>
      </c>
      <c r="Z8" s="42" t="s">
        <v>51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52"/>
      <c r="AG8" s="52">
        <v>0</v>
      </c>
      <c r="AH8" s="52">
        <v>0</v>
      </c>
      <c r="AI8" s="52">
        <v>0</v>
      </c>
      <c r="AJ8" s="52">
        <v>0</v>
      </c>
      <c r="AK8" s="52">
        <v>0</v>
      </c>
    </row>
    <row r="9" spans="1:37" ht="15.6">
      <c r="A9" s="6" t="s">
        <v>51</v>
      </c>
      <c r="B9" s="3"/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Z9" s="42" t="s">
        <v>49</v>
      </c>
      <c r="AA9" s="42">
        <v>30</v>
      </c>
      <c r="AB9" s="42">
        <v>34</v>
      </c>
      <c r="AC9" s="42">
        <v>43</v>
      </c>
      <c r="AD9" s="42">
        <v>31</v>
      </c>
      <c r="AE9" s="42">
        <v>38</v>
      </c>
      <c r="AF9" s="52">
        <v>45.106730000000006</v>
      </c>
      <c r="AG9" s="52">
        <v>29.784650000000003</v>
      </c>
      <c r="AH9" s="52">
        <v>47.060430000000004</v>
      </c>
      <c r="AI9" s="52">
        <v>8.5928899999999988</v>
      </c>
      <c r="AJ9" s="52">
        <v>53.814800000000005</v>
      </c>
      <c r="AK9" s="52">
        <v>38.450369999999999</v>
      </c>
    </row>
    <row r="10" spans="1:37" ht="15.6">
      <c r="A10" s="6" t="s">
        <v>49</v>
      </c>
      <c r="B10" s="3">
        <v>45.106730000000006</v>
      </c>
      <c r="C10" s="3">
        <v>30.484849999999998</v>
      </c>
      <c r="D10" s="3">
        <v>33.586260000000003</v>
      </c>
      <c r="E10" s="3">
        <v>29.784650000000003</v>
      </c>
      <c r="F10" s="3">
        <v>47.060430000000004</v>
      </c>
      <c r="G10" s="3">
        <v>8.5928899999999988</v>
      </c>
      <c r="H10" s="3">
        <v>53.814800000000005</v>
      </c>
      <c r="I10" s="3">
        <v>38.450369999999999</v>
      </c>
      <c r="J10" s="3">
        <v>19.507169999999999</v>
      </c>
      <c r="K10" s="3">
        <v>43.34413</v>
      </c>
      <c r="L10" s="3">
        <v>31.469570000000001</v>
      </c>
      <c r="M10" s="3">
        <v>37.603970000000004</v>
      </c>
      <c r="N10" s="3">
        <v>418.80581999999998</v>
      </c>
      <c r="Z10" s="42" t="s">
        <v>43</v>
      </c>
      <c r="AA10" s="42">
        <v>248</v>
      </c>
      <c r="AB10" s="42">
        <v>301</v>
      </c>
      <c r="AC10" s="42">
        <v>253</v>
      </c>
      <c r="AD10" s="42">
        <v>163</v>
      </c>
      <c r="AE10" s="42">
        <v>200</v>
      </c>
      <c r="AF10" s="52">
        <v>199.17714000000001</v>
      </c>
      <c r="AG10" s="52">
        <v>112.52925999999999</v>
      </c>
      <c r="AH10" s="52">
        <v>170.10757999999998</v>
      </c>
      <c r="AI10" s="52">
        <v>44.186230000000002</v>
      </c>
      <c r="AJ10" s="52">
        <v>142.39491000000001</v>
      </c>
      <c r="AK10" s="52">
        <v>85.979060000000004</v>
      </c>
    </row>
    <row r="11" spans="1:37" ht="15.6">
      <c r="A11" s="6" t="s">
        <v>43</v>
      </c>
      <c r="B11" s="3">
        <v>199.17714000000001</v>
      </c>
      <c r="C11" s="3">
        <v>248.41297</v>
      </c>
      <c r="D11" s="3">
        <v>300.50612999999998</v>
      </c>
      <c r="E11" s="3">
        <v>112.52925999999999</v>
      </c>
      <c r="F11" s="3">
        <v>170.10757999999998</v>
      </c>
      <c r="G11" s="3">
        <v>44.186230000000002</v>
      </c>
      <c r="H11" s="3">
        <v>142.39491000000001</v>
      </c>
      <c r="I11" s="3">
        <v>85.979060000000004</v>
      </c>
      <c r="J11" s="3">
        <v>90.168449999999993</v>
      </c>
      <c r="K11" s="3">
        <v>253.22173999999998</v>
      </c>
      <c r="L11" s="3">
        <v>162.58869000000001</v>
      </c>
      <c r="M11" s="3">
        <v>199.83432000000002</v>
      </c>
      <c r="N11" s="3">
        <v>2009.1064799999997</v>
      </c>
      <c r="Z11" s="42" t="s">
        <v>48</v>
      </c>
      <c r="AA11" s="42">
        <v>108</v>
      </c>
      <c r="AB11" s="42">
        <v>80</v>
      </c>
      <c r="AC11" s="42">
        <v>119</v>
      </c>
      <c r="AD11" s="42">
        <v>83</v>
      </c>
      <c r="AE11" s="42">
        <v>100</v>
      </c>
      <c r="AF11" s="52">
        <v>98.464479999999995</v>
      </c>
      <c r="AG11" s="52">
        <v>283.93033000000003</v>
      </c>
      <c r="AH11" s="52">
        <v>685.44343000000003</v>
      </c>
      <c r="AI11" s="52">
        <v>40.806950000000001</v>
      </c>
      <c r="AJ11" s="52">
        <v>66.242639999999994</v>
      </c>
      <c r="AK11" s="52">
        <v>44.934100000000001</v>
      </c>
    </row>
    <row r="12" spans="1:37" ht="15.6">
      <c r="A12" s="6" t="s">
        <v>48</v>
      </c>
      <c r="B12" s="3">
        <v>98.464479999999995</v>
      </c>
      <c r="C12" s="3">
        <v>107.99588</v>
      </c>
      <c r="D12" s="3">
        <v>79.680309999999992</v>
      </c>
      <c r="E12" s="3">
        <v>283.93033000000003</v>
      </c>
      <c r="F12" s="3">
        <v>685.44343000000003</v>
      </c>
      <c r="G12" s="3">
        <v>40.806950000000001</v>
      </c>
      <c r="H12" s="3">
        <v>66.242639999999994</v>
      </c>
      <c r="I12" s="3">
        <v>44.934100000000001</v>
      </c>
      <c r="J12" s="3">
        <v>70.576259999999991</v>
      </c>
      <c r="K12" s="3">
        <v>118.79159</v>
      </c>
      <c r="L12" s="3">
        <v>82.754379999999998</v>
      </c>
      <c r="M12" s="3">
        <v>99.538589999999999</v>
      </c>
      <c r="N12" s="3">
        <v>1779.1589400000003</v>
      </c>
      <c r="Z12" s="42" t="s">
        <v>50</v>
      </c>
      <c r="AA12" s="42">
        <v>136</v>
      </c>
      <c r="AB12" s="42">
        <v>8</v>
      </c>
      <c r="AC12" s="42">
        <v>9</v>
      </c>
      <c r="AD12" s="42">
        <v>6</v>
      </c>
      <c r="AE12" s="42">
        <v>7</v>
      </c>
      <c r="AF12" s="52">
        <v>13.78055</v>
      </c>
      <c r="AG12" s="52">
        <v>5.7238699999999998</v>
      </c>
      <c r="AH12" s="52">
        <v>14.241620000000001</v>
      </c>
      <c r="AI12" s="52">
        <v>0</v>
      </c>
      <c r="AJ12" s="52">
        <v>3.7396400000000001</v>
      </c>
      <c r="AK12" s="52">
        <v>2.5083299999999999</v>
      </c>
    </row>
    <row r="13" spans="1:37" ht="15.6">
      <c r="A13" s="6" t="s">
        <v>50</v>
      </c>
      <c r="B13" s="3">
        <v>13.78055</v>
      </c>
      <c r="C13" s="3">
        <v>136.16633999999999</v>
      </c>
      <c r="D13" s="3">
        <v>8.1184799999999999</v>
      </c>
      <c r="E13" s="3">
        <v>5.7238699999999998</v>
      </c>
      <c r="F13" s="3">
        <v>14.241620000000001</v>
      </c>
      <c r="G13" s="3">
        <v>0</v>
      </c>
      <c r="H13" s="3">
        <v>3.7396400000000001</v>
      </c>
      <c r="I13" s="3">
        <v>2.5083299999999999</v>
      </c>
      <c r="J13" s="3">
        <v>2.9978800000000003</v>
      </c>
      <c r="K13" s="3">
        <v>8.6699099999999998</v>
      </c>
      <c r="L13" s="3">
        <v>5.92103</v>
      </c>
      <c r="M13" s="3">
        <v>7.4708100000000002</v>
      </c>
      <c r="N13" s="3">
        <v>209.33846000000003</v>
      </c>
      <c r="Z13" s="64" t="s">
        <v>235</v>
      </c>
      <c r="AA13" s="64">
        <v>1091</v>
      </c>
      <c r="AB13" s="64">
        <v>1528</v>
      </c>
      <c r="AC13" s="64">
        <v>1551</v>
      </c>
      <c r="AD13" s="64">
        <v>1018</v>
      </c>
      <c r="AE13" s="64">
        <v>1253</v>
      </c>
      <c r="AF13" s="65">
        <v>1137.13975</v>
      </c>
      <c r="AG13" s="65">
        <v>779.11297000000002</v>
      </c>
      <c r="AH13" s="65">
        <v>1489.94245</v>
      </c>
      <c r="AI13" s="65">
        <v>333.98670000000004</v>
      </c>
      <c r="AJ13" s="65">
        <v>927.62820000000011</v>
      </c>
      <c r="AK13" s="65">
        <v>614.67541999999992</v>
      </c>
    </row>
    <row r="14" spans="1:37" ht="15.6" hidden="1">
      <c r="A14" s="27" t="s">
        <v>110</v>
      </c>
      <c r="B14" s="29">
        <v>1137.13975</v>
      </c>
      <c r="C14" s="29">
        <v>1090.58215</v>
      </c>
      <c r="D14" s="29">
        <v>1527.55897</v>
      </c>
      <c r="E14" s="29">
        <v>779.11297000000002</v>
      </c>
      <c r="F14" s="29">
        <v>1489.94245</v>
      </c>
      <c r="G14" s="29">
        <v>333.98670000000004</v>
      </c>
      <c r="H14" s="29">
        <v>927.62820000000011</v>
      </c>
      <c r="I14" s="29">
        <v>614.67541999999992</v>
      </c>
      <c r="J14" s="29">
        <v>774.47805000000005</v>
      </c>
      <c r="K14" s="29">
        <v>1551.3826300000001</v>
      </c>
      <c r="L14" s="29">
        <v>1017.72345</v>
      </c>
      <c r="M14" s="29">
        <v>1252.8578599999998</v>
      </c>
      <c r="N14" s="29">
        <v>12497.068600000001</v>
      </c>
      <c r="Z14" s="63" t="s">
        <v>222</v>
      </c>
      <c r="AA14" s="63">
        <v>14</v>
      </c>
      <c r="AB14" s="63">
        <v>7</v>
      </c>
      <c r="AC14" s="63">
        <v>13</v>
      </c>
      <c r="AD14" s="63">
        <v>13</v>
      </c>
      <c r="AE14" s="63">
        <v>13</v>
      </c>
      <c r="AF14" s="63">
        <v>19</v>
      </c>
      <c r="AG14" s="63">
        <v>28</v>
      </c>
      <c r="AH14" s="63">
        <v>21</v>
      </c>
      <c r="AI14" s="63">
        <v>17</v>
      </c>
      <c r="AJ14" s="63">
        <v>15</v>
      </c>
      <c r="AK14" s="63">
        <v>14</v>
      </c>
    </row>
    <row r="15" spans="1:37" ht="15.6">
      <c r="A15" s="6" t="s">
        <v>111</v>
      </c>
      <c r="B15" s="3">
        <v>1097.6672800000001</v>
      </c>
      <c r="C15" s="3">
        <v>1071.84854</v>
      </c>
      <c r="D15" s="3">
        <v>1507.16677</v>
      </c>
      <c r="E15" s="3">
        <v>771.62490000000003</v>
      </c>
      <c r="F15" s="3">
        <v>1460.51737</v>
      </c>
      <c r="G15" s="3">
        <v>322.39198999999996</v>
      </c>
      <c r="H15" s="3">
        <v>895.89181000000008</v>
      </c>
      <c r="I15" s="3">
        <v>600.94889999999998</v>
      </c>
      <c r="J15" s="3">
        <v>771.9678100000001</v>
      </c>
      <c r="K15" s="3">
        <v>1523.78217</v>
      </c>
      <c r="L15" s="3">
        <v>977.77661999999998</v>
      </c>
      <c r="M15" s="3">
        <v>1225.1361200000001</v>
      </c>
      <c r="N15" s="3">
        <f>SUM(B15:M15)</f>
        <v>12226.720280000001</v>
      </c>
      <c r="Z15" s="66" t="s">
        <v>217</v>
      </c>
      <c r="AA15" s="66">
        <v>26</v>
      </c>
      <c r="AB15" s="66">
        <v>19</v>
      </c>
      <c r="AC15" s="66">
        <v>31</v>
      </c>
      <c r="AD15" s="66">
        <v>23</v>
      </c>
      <c r="AE15" s="66">
        <v>23</v>
      </c>
      <c r="AF15" s="66">
        <v>20</v>
      </c>
      <c r="AG15" s="66">
        <v>28</v>
      </c>
      <c r="AH15" s="66">
        <v>25</v>
      </c>
      <c r="AI15" s="66">
        <v>34</v>
      </c>
      <c r="AJ15" s="66">
        <v>20</v>
      </c>
      <c r="AK15" s="66">
        <v>20</v>
      </c>
    </row>
    <row r="16" spans="1:37" ht="15.6" hidden="1">
      <c r="A16" s="27" t="s">
        <v>131</v>
      </c>
      <c r="B16" s="28">
        <v>18.600000000000001</v>
      </c>
      <c r="C16" s="28">
        <v>13.91</v>
      </c>
      <c r="D16" s="28">
        <v>7.46</v>
      </c>
      <c r="E16" s="28">
        <v>27.88</v>
      </c>
      <c r="F16" s="28">
        <v>21.13</v>
      </c>
      <c r="G16" s="28">
        <v>16.97</v>
      </c>
      <c r="H16" s="28">
        <v>14.62</v>
      </c>
      <c r="I16" s="28">
        <v>14.46</v>
      </c>
      <c r="J16" s="28">
        <v>15.36</v>
      </c>
      <c r="K16" s="28">
        <v>12.89</v>
      </c>
      <c r="L16" s="28">
        <v>13.4</v>
      </c>
      <c r="M16" s="28">
        <v>12.7</v>
      </c>
      <c r="Z16" s="45" t="s">
        <v>223</v>
      </c>
      <c r="AA16" s="45">
        <v>32</v>
      </c>
      <c r="AB16" s="45">
        <v>32</v>
      </c>
      <c r="AC16" s="45">
        <v>32</v>
      </c>
      <c r="AD16" s="45">
        <v>32</v>
      </c>
      <c r="AE16" s="45">
        <v>32</v>
      </c>
      <c r="AF16" s="45">
        <v>31</v>
      </c>
      <c r="AG16" s="45">
        <v>31</v>
      </c>
      <c r="AH16" s="45">
        <v>31</v>
      </c>
      <c r="AI16" s="45">
        <v>31</v>
      </c>
      <c r="AJ16" s="45">
        <v>20</v>
      </c>
      <c r="AK16" s="45">
        <v>20</v>
      </c>
    </row>
    <row r="17" spans="1:40" ht="15.6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Y17" t="s">
        <v>232</v>
      </c>
      <c r="Z17" s="59" t="s">
        <v>230</v>
      </c>
      <c r="AA17" s="60">
        <f>AA13/AA14*AA15-AA13</f>
        <v>935.14285714285711</v>
      </c>
      <c r="AB17" s="60">
        <f>AB13/AB14*AB15-AB13</f>
        <v>2619.4285714285716</v>
      </c>
      <c r="AC17" s="60">
        <f t="shared" ref="AC17:AE17" si="0">AC13/AC14*AC15-AC13</f>
        <v>2147.5384615384614</v>
      </c>
      <c r="AD17" s="60">
        <f t="shared" si="0"/>
        <v>783.07692307692309</v>
      </c>
      <c r="AE17" s="60">
        <f t="shared" si="0"/>
        <v>963.84615384615381</v>
      </c>
      <c r="AF17" s="60">
        <f t="shared" ref="AF17:AK17" si="1">AF13/AF14*AF15</f>
        <v>1196.9892105263159</v>
      </c>
      <c r="AG17" s="60">
        <f t="shared" si="1"/>
        <v>779.11297000000002</v>
      </c>
      <c r="AH17" s="60">
        <f t="shared" si="1"/>
        <v>1773.741011904762</v>
      </c>
      <c r="AI17" s="60">
        <f t="shared" si="1"/>
        <v>667.97340000000008</v>
      </c>
      <c r="AJ17" s="60">
        <f t="shared" si="1"/>
        <v>1236.8376000000003</v>
      </c>
      <c r="AK17" s="60">
        <f t="shared" si="1"/>
        <v>878.10774285714274</v>
      </c>
    </row>
    <row r="18" spans="1:40" ht="15.6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Z18" s="67" t="s">
        <v>234</v>
      </c>
      <c r="AA18" s="68">
        <f>AA13/AA14*AA15</f>
        <v>2026.1428571428571</v>
      </c>
      <c r="AB18" s="68">
        <f t="shared" ref="AB18:AK18" si="2">AB13/AB14*AB15</f>
        <v>4147.4285714285716</v>
      </c>
      <c r="AC18" s="68">
        <f t="shared" si="2"/>
        <v>3698.5384615384614</v>
      </c>
      <c r="AD18" s="68">
        <f t="shared" si="2"/>
        <v>1801.0769230769231</v>
      </c>
      <c r="AE18" s="68">
        <f t="shared" si="2"/>
        <v>2216.8461538461538</v>
      </c>
      <c r="AF18" s="68">
        <f t="shared" si="2"/>
        <v>1196.9892105263159</v>
      </c>
      <c r="AG18" s="68">
        <f t="shared" si="2"/>
        <v>779.11297000000002</v>
      </c>
      <c r="AH18" s="68">
        <f t="shared" si="2"/>
        <v>1773.741011904762</v>
      </c>
      <c r="AI18" s="68">
        <f t="shared" si="2"/>
        <v>667.97340000000008</v>
      </c>
      <c r="AJ18" s="68">
        <f t="shared" si="2"/>
        <v>1236.8376000000003</v>
      </c>
      <c r="AK18" s="68">
        <f t="shared" si="2"/>
        <v>878.10774285714274</v>
      </c>
    </row>
    <row r="19" spans="1:40" ht="15.6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Y19" t="s">
        <v>233</v>
      </c>
      <c r="Z19" s="61" t="s">
        <v>231</v>
      </c>
      <c r="AA19" s="61">
        <f t="shared" ref="AA19:AK19" si="3">AA29-AA13</f>
        <v>1909</v>
      </c>
      <c r="AB19" s="61">
        <f t="shared" si="3"/>
        <v>1272</v>
      </c>
      <c r="AC19" s="61">
        <f t="shared" si="3"/>
        <v>1449</v>
      </c>
      <c r="AD19" s="61">
        <f t="shared" si="3"/>
        <v>302</v>
      </c>
      <c r="AE19" s="61">
        <f t="shared" si="3"/>
        <v>447</v>
      </c>
      <c r="AF19" s="62">
        <f t="shared" si="3"/>
        <v>442.86024999999995</v>
      </c>
      <c r="AG19" s="62">
        <f t="shared" si="3"/>
        <v>1020.88703</v>
      </c>
      <c r="AH19" s="62">
        <f t="shared" si="3"/>
        <v>507.05754999999999</v>
      </c>
      <c r="AI19" s="62">
        <f t="shared" si="3"/>
        <v>1266.0133000000001</v>
      </c>
      <c r="AJ19" s="62">
        <f t="shared" si="3"/>
        <v>372.37179999999989</v>
      </c>
      <c r="AK19" s="62">
        <f t="shared" si="3"/>
        <v>985.32458000000008</v>
      </c>
    </row>
    <row r="20" spans="1:40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Z20" s="69" t="s">
        <v>226</v>
      </c>
      <c r="AA20" s="70">
        <v>3000</v>
      </c>
      <c r="AB20" s="70">
        <v>2800</v>
      </c>
      <c r="AC20" s="70">
        <v>3000</v>
      </c>
      <c r="AD20" s="70">
        <v>1320</v>
      </c>
      <c r="AE20" s="70">
        <v>1700</v>
      </c>
      <c r="AF20" s="70">
        <v>1580</v>
      </c>
      <c r="AG20" s="70">
        <v>1800</v>
      </c>
      <c r="AH20" s="70">
        <v>1997</v>
      </c>
      <c r="AI20" s="70">
        <v>1600</v>
      </c>
      <c r="AJ20" s="70">
        <v>1300</v>
      </c>
      <c r="AK20" s="70">
        <v>1600</v>
      </c>
    </row>
    <row r="21" spans="1:40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Z21" s="69" t="s">
        <v>238</v>
      </c>
      <c r="AA21" s="72">
        <f>MAX(AA20,AA18)</f>
        <v>3000</v>
      </c>
      <c r="AB21" s="72">
        <f t="shared" ref="AB21:AE21" si="4">MAX(AB20,AB18)</f>
        <v>4147.4285714285716</v>
      </c>
      <c r="AC21" s="72">
        <f t="shared" si="4"/>
        <v>3698.5384615384614</v>
      </c>
      <c r="AD21" s="72">
        <f t="shared" si="4"/>
        <v>1801.0769230769231</v>
      </c>
      <c r="AE21" s="72">
        <f t="shared" si="4"/>
        <v>2216.8461538461538</v>
      </c>
      <c r="AF21" s="70"/>
      <c r="AG21" s="70"/>
      <c r="AH21" s="70"/>
      <c r="AI21" s="70"/>
      <c r="AJ21" s="70"/>
      <c r="AK21" s="70"/>
    </row>
    <row r="22" spans="1:40" ht="31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Z22" s="67" t="s">
        <v>236</v>
      </c>
      <c r="AA22" s="68">
        <f>MAX(AA17,AA19)</f>
        <v>1909</v>
      </c>
      <c r="AB22" s="68">
        <f t="shared" ref="AB22:AK22" si="5">MAX(AB17,AB19)</f>
        <v>2619.4285714285716</v>
      </c>
      <c r="AC22" s="68">
        <f t="shared" si="5"/>
        <v>2147.5384615384614</v>
      </c>
      <c r="AD22" s="68">
        <f t="shared" si="5"/>
        <v>783.07692307692309</v>
      </c>
      <c r="AE22" s="68">
        <f t="shared" si="5"/>
        <v>963.84615384615381</v>
      </c>
      <c r="AF22" s="68">
        <f t="shared" si="5"/>
        <v>1196.9892105263159</v>
      </c>
      <c r="AG22" s="68">
        <f t="shared" si="5"/>
        <v>1020.88703</v>
      </c>
      <c r="AH22" s="68">
        <f t="shared" si="5"/>
        <v>1773.741011904762</v>
      </c>
      <c r="AI22" s="68">
        <f t="shared" si="5"/>
        <v>1266.0133000000001</v>
      </c>
      <c r="AJ22" s="68">
        <f t="shared" si="5"/>
        <v>1236.8376000000003</v>
      </c>
      <c r="AK22" s="68">
        <f t="shared" si="5"/>
        <v>985.32458000000008</v>
      </c>
    </row>
    <row r="23" spans="1:40" ht="15.6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Z23" s="59" t="s">
        <v>237</v>
      </c>
      <c r="AA23" s="71">
        <f>AA24/AA21</f>
        <v>0.74233333333333329</v>
      </c>
      <c r="AB23" s="71">
        <f t="shared" ref="AB23:AE23" si="6">AB24/AB21</f>
        <v>1.0997175530449159</v>
      </c>
      <c r="AC23" s="71">
        <f t="shared" si="6"/>
        <v>0.68405399222145968</v>
      </c>
      <c r="AD23" s="71">
        <f t="shared" si="6"/>
        <v>0.90334842401981719</v>
      </c>
      <c r="AE23" s="71">
        <f t="shared" si="6"/>
        <v>0.84399181095804854</v>
      </c>
      <c r="AF23" s="59"/>
      <c r="AG23" s="59"/>
      <c r="AH23" s="59"/>
      <c r="AI23" s="59"/>
      <c r="AJ23" s="59"/>
      <c r="AK23" s="59"/>
    </row>
    <row r="24" spans="1:40" ht="15.6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Z24" s="59"/>
      <c r="AA24" s="59">
        <v>2227</v>
      </c>
      <c r="AB24" s="59">
        <v>4561</v>
      </c>
      <c r="AC24" s="59">
        <v>2530</v>
      </c>
      <c r="AD24" s="59">
        <v>1627</v>
      </c>
      <c r="AE24" s="59">
        <v>1871</v>
      </c>
      <c r="AF24" s="59"/>
      <c r="AG24" s="59"/>
      <c r="AH24" s="59"/>
      <c r="AI24" s="59"/>
      <c r="AJ24" s="59"/>
      <c r="AK24" s="59"/>
      <c r="AN24">
        <f>12816/SUM(AA21:AE21)</f>
        <v>0.86222381255849778</v>
      </c>
    </row>
    <row r="25" spans="1:40" ht="15.6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</row>
    <row r="26" spans="1:40">
      <c r="A26" s="32" t="s">
        <v>216</v>
      </c>
      <c r="B26" s="33">
        <v>1580</v>
      </c>
      <c r="C26" s="33">
        <v>3000</v>
      </c>
      <c r="D26" s="33">
        <v>2800</v>
      </c>
      <c r="E26" s="33">
        <v>1800</v>
      </c>
      <c r="F26" s="33">
        <v>1997</v>
      </c>
      <c r="G26" s="33">
        <v>1600</v>
      </c>
      <c r="H26" s="33">
        <v>1300</v>
      </c>
      <c r="I26" s="33">
        <v>1600</v>
      </c>
      <c r="J26" s="33">
        <v>1440</v>
      </c>
      <c r="K26" s="33">
        <v>3000</v>
      </c>
      <c r="L26" s="33">
        <v>1320</v>
      </c>
      <c r="M26" s="33">
        <v>1700</v>
      </c>
      <c r="Z26" s="46" t="s">
        <v>224</v>
      </c>
      <c r="AA26" s="46">
        <f t="shared" ref="AA26:AK26" si="7">MIN(AA15:AA16)</f>
        <v>26</v>
      </c>
      <c r="AB26" s="46">
        <f t="shared" si="7"/>
        <v>19</v>
      </c>
      <c r="AC26" s="46">
        <f t="shared" si="7"/>
        <v>31</v>
      </c>
      <c r="AD26" s="46">
        <f t="shared" si="7"/>
        <v>23</v>
      </c>
      <c r="AE26" s="46">
        <f t="shared" si="7"/>
        <v>23</v>
      </c>
      <c r="AF26" s="46">
        <f t="shared" si="7"/>
        <v>20</v>
      </c>
      <c r="AG26" s="46">
        <f t="shared" si="7"/>
        <v>28</v>
      </c>
      <c r="AH26" s="46">
        <f t="shared" si="7"/>
        <v>25</v>
      </c>
      <c r="AI26" s="46">
        <f t="shared" si="7"/>
        <v>31</v>
      </c>
      <c r="AJ26" s="46">
        <f t="shared" si="7"/>
        <v>20</v>
      </c>
      <c r="AK26" s="46">
        <f t="shared" si="7"/>
        <v>20</v>
      </c>
    </row>
    <row r="27" spans="1:40">
      <c r="A27" s="34" t="s">
        <v>217</v>
      </c>
      <c r="B27" s="38">
        <v>20</v>
      </c>
      <c r="C27" s="38">
        <v>26</v>
      </c>
      <c r="D27" s="38">
        <v>19</v>
      </c>
      <c r="E27" s="38">
        <v>28</v>
      </c>
      <c r="F27" s="38">
        <v>25</v>
      </c>
      <c r="G27" s="38">
        <v>34</v>
      </c>
      <c r="H27" s="38">
        <v>20</v>
      </c>
      <c r="I27" s="38">
        <v>20</v>
      </c>
      <c r="J27" s="38">
        <v>30</v>
      </c>
      <c r="K27" s="38">
        <v>31</v>
      </c>
      <c r="L27" s="38">
        <v>23</v>
      </c>
      <c r="M27" s="38">
        <v>23</v>
      </c>
      <c r="Z27" s="48" t="s">
        <v>225</v>
      </c>
      <c r="AA27" s="49">
        <f t="shared" ref="AA27:AK27" si="8">AA26*(AA13/AA14)</f>
        <v>2026.1428571428571</v>
      </c>
      <c r="AB27" s="49">
        <f t="shared" si="8"/>
        <v>4147.4285714285716</v>
      </c>
      <c r="AC27" s="49">
        <f t="shared" si="8"/>
        <v>3698.5384615384614</v>
      </c>
      <c r="AD27" s="49">
        <f t="shared" si="8"/>
        <v>1801.0769230769231</v>
      </c>
      <c r="AE27" s="50">
        <f t="shared" si="8"/>
        <v>2216.8461538461538</v>
      </c>
      <c r="AF27" s="49">
        <f t="shared" si="8"/>
        <v>1196.9892105263159</v>
      </c>
      <c r="AG27" s="49">
        <f t="shared" si="8"/>
        <v>779.11297000000002</v>
      </c>
      <c r="AH27" s="49">
        <f t="shared" si="8"/>
        <v>1773.741011904762</v>
      </c>
      <c r="AI27" s="50">
        <f t="shared" si="8"/>
        <v>609.0345705882354</v>
      </c>
      <c r="AJ27" s="50">
        <f t="shared" si="8"/>
        <v>1236.8376000000003</v>
      </c>
      <c r="AK27" s="50">
        <f t="shared" si="8"/>
        <v>878.10774285714274</v>
      </c>
    </row>
    <row r="28" spans="1:40" ht="15.6">
      <c r="A28" s="30" t="s">
        <v>218</v>
      </c>
      <c r="B28" s="31">
        <v>1303</v>
      </c>
      <c r="C28" s="31">
        <v>1407</v>
      </c>
      <c r="D28" s="31">
        <v>2482</v>
      </c>
      <c r="E28" s="31">
        <v>1053</v>
      </c>
      <c r="F28" s="31">
        <v>1607</v>
      </c>
      <c r="G28" s="31">
        <v>498</v>
      </c>
      <c r="H28" s="31">
        <v>1159</v>
      </c>
      <c r="I28" s="31">
        <v>715</v>
      </c>
      <c r="J28" s="31">
        <v>1208</v>
      </c>
      <c r="K28" s="31">
        <v>2534</v>
      </c>
      <c r="L28" s="31">
        <v>1641</v>
      </c>
      <c r="M28" s="31">
        <v>1939</v>
      </c>
      <c r="T28" s="8" t="s">
        <v>208</v>
      </c>
      <c r="U28" s="8" t="s">
        <v>209</v>
      </c>
      <c r="V28" s="8" t="s">
        <v>210</v>
      </c>
      <c r="Z28" s="47" t="s">
        <v>228</v>
      </c>
      <c r="AA28" s="51">
        <v>1419</v>
      </c>
      <c r="AB28" s="51">
        <v>2975</v>
      </c>
      <c r="AC28" s="51">
        <v>2646</v>
      </c>
      <c r="AD28" s="51">
        <v>1487</v>
      </c>
      <c r="AE28" s="51">
        <v>2124</v>
      </c>
      <c r="AF28" s="51">
        <v>1170</v>
      </c>
      <c r="AG28" s="51">
        <v>1119</v>
      </c>
      <c r="AH28" s="51">
        <v>1681</v>
      </c>
      <c r="AI28" s="51">
        <v>575</v>
      </c>
      <c r="AJ28" s="52">
        <v>1397</v>
      </c>
      <c r="AK28" s="52">
        <v>838</v>
      </c>
    </row>
    <row r="29" spans="1:40">
      <c r="A29" s="36" t="s">
        <v>214</v>
      </c>
      <c r="B29" s="37">
        <v>25</v>
      </c>
      <c r="C29" s="37">
        <v>19</v>
      </c>
      <c r="D29" s="37">
        <v>10</v>
      </c>
      <c r="E29" s="37">
        <v>58</v>
      </c>
      <c r="F29" s="37">
        <v>35</v>
      </c>
      <c r="G29" s="37">
        <v>40</v>
      </c>
      <c r="H29" s="37">
        <v>18</v>
      </c>
      <c r="I29" s="37">
        <v>39</v>
      </c>
      <c r="J29" s="37">
        <v>33</v>
      </c>
      <c r="K29" s="37">
        <v>17</v>
      </c>
      <c r="L29" s="37">
        <v>18</v>
      </c>
      <c r="M29" s="37">
        <v>18</v>
      </c>
      <c r="Z29" s="47" t="s">
        <v>226</v>
      </c>
      <c r="AA29" s="51">
        <v>3000</v>
      </c>
      <c r="AB29" s="51">
        <v>2800</v>
      </c>
      <c r="AC29" s="51">
        <v>3000</v>
      </c>
      <c r="AD29" s="51">
        <v>1320</v>
      </c>
      <c r="AE29" s="51">
        <v>1700</v>
      </c>
      <c r="AF29" s="51">
        <v>1580</v>
      </c>
      <c r="AG29" s="51">
        <v>1800</v>
      </c>
      <c r="AH29" s="51">
        <v>1997</v>
      </c>
      <c r="AI29" s="51">
        <v>1600</v>
      </c>
      <c r="AJ29" s="51">
        <v>1300</v>
      </c>
      <c r="AK29" s="51">
        <v>1600</v>
      </c>
    </row>
    <row r="30" spans="1:40" ht="15.6">
      <c r="A30" s="30" t="s">
        <v>215</v>
      </c>
      <c r="B30" s="35">
        <v>3.5999999999999997E-2</v>
      </c>
      <c r="C30" s="35">
        <v>0.02</v>
      </c>
      <c r="D30" s="35">
        <v>3.6999999999999998E-2</v>
      </c>
      <c r="E30" s="35">
        <v>0.02</v>
      </c>
      <c r="F30" s="35">
        <v>0.02</v>
      </c>
      <c r="G30" s="35">
        <v>3.1E-2</v>
      </c>
      <c r="H30" s="35">
        <v>7.0999999999999994E-2</v>
      </c>
      <c r="I30" s="35">
        <v>7.0999999999999994E-2</v>
      </c>
      <c r="J30" s="35">
        <v>5.2999999999999999E-2</v>
      </c>
      <c r="K30" s="35">
        <v>5.2999999999999999E-2</v>
      </c>
      <c r="L30" s="35">
        <v>5.2999999999999999E-2</v>
      </c>
      <c r="M30" s="35">
        <v>5.2999999999999999E-2</v>
      </c>
      <c r="T30" s="7" t="s">
        <v>95</v>
      </c>
      <c r="U30" s="7" t="s">
        <v>20</v>
      </c>
      <c r="V30" s="7">
        <v>1580</v>
      </c>
      <c r="Z30" s="54" t="s">
        <v>227</v>
      </c>
      <c r="AA30" s="55">
        <f>MAX(AA27-AA28,0)</f>
        <v>607.14285714285711</v>
      </c>
      <c r="AB30" s="55">
        <f t="shared" ref="AB30:AK30" si="9">MAX(AB27-AB28,0)</f>
        <v>1172.4285714285716</v>
      </c>
      <c r="AC30" s="55">
        <f t="shared" si="9"/>
        <v>1052.5384615384614</v>
      </c>
      <c r="AD30" s="55">
        <f t="shared" si="9"/>
        <v>314.07692307692309</v>
      </c>
      <c r="AE30" s="55">
        <f t="shared" si="9"/>
        <v>92.846153846153811</v>
      </c>
      <c r="AF30" s="57">
        <f t="shared" si="9"/>
        <v>26.989210526315901</v>
      </c>
      <c r="AG30" s="55">
        <f t="shared" si="9"/>
        <v>0</v>
      </c>
      <c r="AH30" s="55">
        <f t="shared" si="9"/>
        <v>92.74101190476199</v>
      </c>
      <c r="AI30" s="56">
        <f t="shared" si="9"/>
        <v>34.034570588235397</v>
      </c>
      <c r="AJ30" s="56">
        <f t="shared" si="9"/>
        <v>0</v>
      </c>
      <c r="AK30" s="56">
        <f t="shared" si="9"/>
        <v>40.107742857142739</v>
      </c>
    </row>
    <row r="31" spans="1:40">
      <c r="B31" s="3">
        <f t="shared" ref="B31:M31" si="10">B33/(B15/B16)</f>
        <v>26.773140217862739</v>
      </c>
      <c r="C31" s="3">
        <f t="shared" si="10"/>
        <v>38.932739508139839</v>
      </c>
      <c r="D31" s="3">
        <f t="shared" si="10"/>
        <v>13.859116599286487</v>
      </c>
      <c r="E31" s="3">
        <f t="shared" si="10"/>
        <v>65.036781472448595</v>
      </c>
      <c r="F31" s="3">
        <f t="shared" si="10"/>
        <v>28.891549574655176</v>
      </c>
      <c r="G31" s="3">
        <f t="shared" si="10"/>
        <v>84.220454732761809</v>
      </c>
      <c r="H31" s="3">
        <f t="shared" si="10"/>
        <v>21.21461518885857</v>
      </c>
      <c r="I31" s="3">
        <f t="shared" si="10"/>
        <v>38.499113651759743</v>
      </c>
      <c r="J31" s="3">
        <f t="shared" si="10"/>
        <v>28.651971900227284</v>
      </c>
      <c r="K31" s="3">
        <f t="shared" si="10"/>
        <v>25.377643052484334</v>
      </c>
      <c r="L31" s="3">
        <f t="shared" si="10"/>
        <v>18.09002142022991</v>
      </c>
      <c r="M31" s="3">
        <f t="shared" si="10"/>
        <v>17.622531608977454</v>
      </c>
      <c r="T31" s="7" t="s">
        <v>96</v>
      </c>
      <c r="U31" s="7" t="s">
        <v>21</v>
      </c>
      <c r="V31" s="7">
        <v>3000</v>
      </c>
    </row>
    <row r="32" spans="1:40">
      <c r="A32" s="6" t="s">
        <v>219</v>
      </c>
      <c r="B32" s="3">
        <f t="shared" ref="B32:M32" si="11">(B33-B15)/(B15/B16)</f>
        <v>8.1731402178627359</v>
      </c>
      <c r="C32" s="25">
        <f t="shared" si="11"/>
        <v>25.022739508139839</v>
      </c>
      <c r="D32" s="3">
        <f t="shared" si="11"/>
        <v>6.3991165992864874</v>
      </c>
      <c r="E32" s="25">
        <f t="shared" si="11"/>
        <v>37.156781472448593</v>
      </c>
      <c r="F32" s="3">
        <f t="shared" si="11"/>
        <v>7.7615495746551781</v>
      </c>
      <c r="G32" s="25">
        <f t="shared" si="11"/>
        <v>67.25045473276181</v>
      </c>
      <c r="H32" s="3">
        <f t="shared" si="11"/>
        <v>6.5946151888585725</v>
      </c>
      <c r="I32" s="25">
        <f t="shared" si="11"/>
        <v>24.039113651759742</v>
      </c>
      <c r="J32" s="39">
        <f t="shared" si="11"/>
        <v>13.291971900227285</v>
      </c>
      <c r="K32" s="39">
        <f t="shared" si="11"/>
        <v>12.487643052484334</v>
      </c>
      <c r="L32" s="3">
        <f t="shared" si="11"/>
        <v>4.6900214202299093</v>
      </c>
      <c r="M32" s="3">
        <f t="shared" si="11"/>
        <v>4.9225316089774562</v>
      </c>
      <c r="T32" s="7" t="s">
        <v>97</v>
      </c>
      <c r="U32" s="7" t="s">
        <v>22</v>
      </c>
      <c r="V32" s="7">
        <v>2800</v>
      </c>
      <c r="Z32" s="48" t="s">
        <v>225</v>
      </c>
      <c r="AA32" s="49">
        <f t="shared" ref="AA32:AK32" si="12">AA16*(AA13/AA14)</f>
        <v>2493.7142857142858</v>
      </c>
      <c r="AB32" s="49">
        <f t="shared" si="12"/>
        <v>6985.1428571428569</v>
      </c>
      <c r="AC32" s="49">
        <f t="shared" si="12"/>
        <v>3817.8461538461538</v>
      </c>
      <c r="AD32" s="49">
        <f t="shared" si="12"/>
        <v>2505.8461538461538</v>
      </c>
      <c r="AE32" s="49">
        <f t="shared" si="12"/>
        <v>3084.3076923076924</v>
      </c>
      <c r="AF32" s="49">
        <f t="shared" si="12"/>
        <v>1855.3332763157896</v>
      </c>
      <c r="AG32" s="49">
        <f t="shared" si="12"/>
        <v>862.58935964285718</v>
      </c>
      <c r="AH32" s="49">
        <f t="shared" si="12"/>
        <v>2199.4388547619051</v>
      </c>
      <c r="AI32" s="49">
        <f t="shared" si="12"/>
        <v>609.0345705882354</v>
      </c>
      <c r="AJ32" s="49">
        <f t="shared" si="12"/>
        <v>1236.8376000000003</v>
      </c>
      <c r="AK32" s="49">
        <f t="shared" si="12"/>
        <v>878.10774285714274</v>
      </c>
    </row>
    <row r="33" spans="1:37">
      <c r="A33" s="6"/>
      <c r="B33" s="7">
        <v>1580</v>
      </c>
      <c r="C33" s="7">
        <v>3000</v>
      </c>
      <c r="D33" s="7">
        <v>2800</v>
      </c>
      <c r="E33" s="7">
        <v>1800</v>
      </c>
      <c r="F33" s="7">
        <v>1997</v>
      </c>
      <c r="G33" s="7">
        <v>1600</v>
      </c>
      <c r="H33" s="7">
        <v>1300</v>
      </c>
      <c r="I33" s="7">
        <v>1600</v>
      </c>
      <c r="J33" s="7">
        <v>1440</v>
      </c>
      <c r="K33" s="7">
        <v>3000</v>
      </c>
      <c r="L33" s="7">
        <v>1320</v>
      </c>
      <c r="M33" s="7">
        <v>1700</v>
      </c>
      <c r="T33" s="7" t="s">
        <v>98</v>
      </c>
      <c r="U33" s="7" t="s">
        <v>211</v>
      </c>
      <c r="V33" s="7">
        <v>1800</v>
      </c>
      <c r="AA33" s="3">
        <f>AA32-AA28</f>
        <v>1074.7142857142858</v>
      </c>
      <c r="AB33" s="3">
        <f t="shared" ref="AB33:AK33" si="13">AB32-AB28</f>
        <v>4010.1428571428569</v>
      </c>
      <c r="AC33" s="3">
        <f t="shared" si="13"/>
        <v>1171.8461538461538</v>
      </c>
      <c r="AD33" s="3">
        <f t="shared" si="13"/>
        <v>1018.8461538461538</v>
      </c>
      <c r="AE33" s="3">
        <f t="shared" si="13"/>
        <v>960.30769230769238</v>
      </c>
      <c r="AF33" s="3">
        <f t="shared" si="13"/>
        <v>685.33327631578959</v>
      </c>
      <c r="AG33" s="3">
        <f t="shared" si="13"/>
        <v>-256.41064035714282</v>
      </c>
      <c r="AH33" s="3">
        <f t="shared" si="13"/>
        <v>518.43885476190508</v>
      </c>
      <c r="AI33" s="3">
        <f t="shared" si="13"/>
        <v>34.034570588235397</v>
      </c>
      <c r="AJ33" s="3">
        <f t="shared" si="13"/>
        <v>-160.16239999999971</v>
      </c>
      <c r="AK33" s="3">
        <f t="shared" si="13"/>
        <v>40.107742857142739</v>
      </c>
    </row>
    <row r="34" spans="1:37">
      <c r="B34" s="3">
        <f>B33-GETPIVOTDATA("CBM",$A$3,"location","C819")</f>
        <v>442.86024999999995</v>
      </c>
      <c r="C34" s="3">
        <f t="shared" ref="C34:M34" si="14">C33-GETPIVOTDATA("CBM",$A$3,"location","C819")</f>
        <v>1862.86025</v>
      </c>
      <c r="D34" s="3">
        <f t="shared" si="14"/>
        <v>1662.86025</v>
      </c>
      <c r="E34" s="3">
        <f t="shared" si="14"/>
        <v>662.86024999999995</v>
      </c>
      <c r="F34" s="3">
        <f t="shared" si="14"/>
        <v>859.86024999999995</v>
      </c>
      <c r="G34" s="3">
        <f t="shared" si="14"/>
        <v>462.86024999999995</v>
      </c>
      <c r="H34" s="3">
        <f t="shared" si="14"/>
        <v>162.86024999999995</v>
      </c>
      <c r="I34" s="3">
        <f t="shared" si="14"/>
        <v>462.86024999999995</v>
      </c>
      <c r="J34" s="3">
        <f t="shared" si="14"/>
        <v>302.86024999999995</v>
      </c>
      <c r="K34" s="3">
        <f t="shared" si="14"/>
        <v>1862.86025</v>
      </c>
      <c r="L34" s="3">
        <f t="shared" si="14"/>
        <v>182.86024999999995</v>
      </c>
      <c r="M34" s="3">
        <f t="shared" si="14"/>
        <v>562.86024999999995</v>
      </c>
      <c r="T34" s="7" t="s">
        <v>99</v>
      </c>
      <c r="U34" s="7" t="s">
        <v>211</v>
      </c>
      <c r="V34" s="7">
        <v>1997</v>
      </c>
    </row>
    <row r="35" spans="1:37">
      <c r="B35" s="3">
        <f t="shared" ref="B35:M35" si="15">B16+B32</f>
        <v>26.773140217862739</v>
      </c>
      <c r="C35" s="3">
        <f t="shared" si="15"/>
        <v>38.932739508139839</v>
      </c>
      <c r="D35" s="3">
        <f t="shared" si="15"/>
        <v>13.859116599286487</v>
      </c>
      <c r="E35" s="3">
        <f t="shared" si="15"/>
        <v>65.036781472448595</v>
      </c>
      <c r="F35" s="3">
        <f t="shared" si="15"/>
        <v>28.891549574655176</v>
      </c>
      <c r="G35" s="3">
        <f t="shared" si="15"/>
        <v>84.220454732761809</v>
      </c>
      <c r="H35" s="3">
        <f t="shared" si="15"/>
        <v>21.214615188858573</v>
      </c>
      <c r="I35" s="3">
        <f t="shared" si="15"/>
        <v>38.499113651759743</v>
      </c>
      <c r="J35" s="3">
        <f t="shared" si="15"/>
        <v>28.651971900227284</v>
      </c>
      <c r="K35" s="3">
        <f t="shared" si="15"/>
        <v>25.377643052484334</v>
      </c>
      <c r="L35" s="3">
        <f t="shared" si="15"/>
        <v>18.09002142022991</v>
      </c>
      <c r="M35" s="3">
        <f t="shared" si="15"/>
        <v>17.622531608977454</v>
      </c>
      <c r="T35" s="7"/>
      <c r="U35" s="7"/>
      <c r="V35" s="7"/>
      <c r="Z35" t="s">
        <v>229</v>
      </c>
    </row>
    <row r="36" spans="1:37">
      <c r="A36" t="s">
        <v>217</v>
      </c>
      <c r="B36" s="38">
        <v>20</v>
      </c>
      <c r="C36" s="38">
        <v>26</v>
      </c>
      <c r="D36" s="38">
        <v>19</v>
      </c>
      <c r="E36" s="38">
        <v>28</v>
      </c>
      <c r="F36" s="38">
        <v>25</v>
      </c>
      <c r="G36" s="38">
        <v>34</v>
      </c>
      <c r="H36" s="38">
        <v>20</v>
      </c>
      <c r="I36" s="38">
        <v>20</v>
      </c>
      <c r="J36" s="38">
        <v>30</v>
      </c>
      <c r="K36" s="38">
        <v>31</v>
      </c>
      <c r="L36" s="38">
        <v>23</v>
      </c>
      <c r="M36" s="38">
        <v>23</v>
      </c>
      <c r="T36" s="7" t="s">
        <v>101</v>
      </c>
      <c r="U36" s="7" t="s">
        <v>213</v>
      </c>
      <c r="V36" s="7">
        <v>1300</v>
      </c>
    </row>
    <row r="37" spans="1:37">
      <c r="A37" t="s">
        <v>220</v>
      </c>
      <c r="T37" s="7" t="s">
        <v>102</v>
      </c>
      <c r="U37" s="7" t="s">
        <v>213</v>
      </c>
      <c r="V37" s="7">
        <v>1600</v>
      </c>
    </row>
    <row r="38" spans="1:37" ht="14.4" customHeight="1">
      <c r="D38" s="3"/>
      <c r="T38" s="7" t="s">
        <v>112</v>
      </c>
      <c r="U38" s="7" t="s">
        <v>28</v>
      </c>
      <c r="V38" s="7">
        <v>1440</v>
      </c>
    </row>
    <row r="39" spans="1:37">
      <c r="D39" s="3"/>
      <c r="T39" s="7"/>
      <c r="U39" s="7"/>
      <c r="V39" s="7"/>
    </row>
    <row r="40" spans="1:37">
      <c r="D40" s="3"/>
      <c r="T40" s="7"/>
      <c r="U40" s="7"/>
      <c r="V40" s="7"/>
    </row>
    <row r="41" spans="1:37">
      <c r="D41" s="3"/>
      <c r="T41" s="7"/>
      <c r="U41" s="7"/>
      <c r="V41" s="7"/>
    </row>
    <row r="42" spans="1:37">
      <c r="D42" s="3"/>
      <c r="T42" s="7"/>
      <c r="U42" s="7"/>
      <c r="V42" s="7"/>
    </row>
    <row r="43" spans="1:37">
      <c r="D43" s="3"/>
      <c r="T43" s="7"/>
      <c r="U43" s="7"/>
      <c r="V43" s="7"/>
    </row>
    <row r="44" spans="1:37">
      <c r="A44" s="8" t="s">
        <v>107</v>
      </c>
      <c r="B44" s="8" t="s">
        <v>97</v>
      </c>
      <c r="C44" s="8" t="s">
        <v>112</v>
      </c>
      <c r="D44" s="8" t="s">
        <v>102</v>
      </c>
      <c r="E44" s="8" t="s">
        <v>106</v>
      </c>
      <c r="F44" s="9" t="s">
        <v>113</v>
      </c>
      <c r="G44" s="9" t="s">
        <v>114</v>
      </c>
      <c r="H44" s="9" t="s">
        <v>115</v>
      </c>
      <c r="I44" s="8" t="s">
        <v>105</v>
      </c>
      <c r="J44" s="8" t="s">
        <v>104</v>
      </c>
      <c r="K44" s="8" t="s">
        <v>96</v>
      </c>
      <c r="L44" s="8" t="s">
        <v>98</v>
      </c>
      <c r="M44" s="8" t="s">
        <v>100</v>
      </c>
      <c r="N44" s="8" t="s">
        <v>99</v>
      </c>
      <c r="O44" s="8" t="s">
        <v>101</v>
      </c>
      <c r="T44" s="7" t="s">
        <v>104</v>
      </c>
      <c r="U44" s="7" t="s">
        <v>212</v>
      </c>
      <c r="V44" s="7">
        <v>3000</v>
      </c>
    </row>
    <row r="45" spans="1:37">
      <c r="A45" s="7" t="s">
        <v>116</v>
      </c>
      <c r="B45" s="7">
        <v>26</v>
      </c>
      <c r="C45" s="7">
        <v>36.700000000000003</v>
      </c>
      <c r="D45" s="7">
        <v>27</v>
      </c>
      <c r="E45" s="7">
        <v>30.2</v>
      </c>
      <c r="F45" s="10">
        <v>22.9</v>
      </c>
      <c r="G45" s="10">
        <v>35.299999999999997</v>
      </c>
      <c r="H45" s="10">
        <v>23.3</v>
      </c>
      <c r="I45" s="7">
        <v>29.7</v>
      </c>
      <c r="J45" s="7">
        <v>38.4</v>
      </c>
      <c r="K45" s="7">
        <v>33.200000000000003</v>
      </c>
      <c r="L45" s="7">
        <v>34.6</v>
      </c>
      <c r="M45" s="7">
        <v>41.1</v>
      </c>
      <c r="N45" s="7">
        <v>31.6</v>
      </c>
      <c r="O45" s="7">
        <v>26.9</v>
      </c>
      <c r="T45" s="7" t="s">
        <v>105</v>
      </c>
      <c r="U45" s="7" t="s">
        <v>212</v>
      </c>
      <c r="V45" s="7">
        <v>1320</v>
      </c>
    </row>
    <row r="46" spans="1:37">
      <c r="A46" s="7" t="s">
        <v>117</v>
      </c>
      <c r="B46" s="7" t="s">
        <v>118</v>
      </c>
      <c r="C46" s="7" t="s">
        <v>119</v>
      </c>
      <c r="D46" s="7" t="s">
        <v>120</v>
      </c>
      <c r="E46" s="7" t="s">
        <v>121</v>
      </c>
      <c r="F46" s="10" t="s">
        <v>122</v>
      </c>
      <c r="G46" s="10" t="s">
        <v>123</v>
      </c>
      <c r="H46" s="10" t="s">
        <v>124</v>
      </c>
      <c r="I46" s="7" t="s">
        <v>125</v>
      </c>
      <c r="J46" s="7" t="s">
        <v>120</v>
      </c>
      <c r="K46" s="7" t="s">
        <v>126</v>
      </c>
      <c r="L46" s="7" t="s">
        <v>127</v>
      </c>
      <c r="M46" s="7" t="s">
        <v>126</v>
      </c>
      <c r="N46" s="7" t="s">
        <v>128</v>
      </c>
      <c r="O46" s="7" t="s">
        <v>129</v>
      </c>
      <c r="T46" s="7" t="s">
        <v>106</v>
      </c>
      <c r="U46" s="7" t="s">
        <v>212</v>
      </c>
      <c r="V46" s="7">
        <v>1700</v>
      </c>
    </row>
    <row r="47" spans="1:37">
      <c r="A47" s="7" t="s">
        <v>130</v>
      </c>
      <c r="B47" s="74">
        <v>19</v>
      </c>
      <c r="C47" s="74">
        <v>30</v>
      </c>
      <c r="D47" s="74">
        <v>20</v>
      </c>
      <c r="E47" s="74">
        <v>23</v>
      </c>
      <c r="F47" s="73">
        <v>16</v>
      </c>
      <c r="G47" s="73">
        <v>28</v>
      </c>
      <c r="H47" s="73">
        <v>16</v>
      </c>
      <c r="I47" s="74">
        <v>23</v>
      </c>
      <c r="J47" s="74">
        <v>31</v>
      </c>
      <c r="K47" s="74">
        <v>26</v>
      </c>
      <c r="L47" s="74">
        <v>28</v>
      </c>
      <c r="M47" s="74">
        <v>34</v>
      </c>
      <c r="N47" s="74">
        <v>25</v>
      </c>
      <c r="O47" s="74">
        <v>20</v>
      </c>
    </row>
    <row r="48" spans="1:37">
      <c r="B48" s="74"/>
      <c r="C48" s="74"/>
      <c r="D48" s="74"/>
      <c r="E48" s="74"/>
      <c r="F48" s="73"/>
      <c r="G48" s="73"/>
      <c r="H48" s="73"/>
      <c r="I48" s="74"/>
      <c r="J48" s="74"/>
      <c r="K48" s="74"/>
      <c r="L48" s="74"/>
      <c r="M48" s="74"/>
      <c r="N48" s="74"/>
      <c r="O48" s="74"/>
    </row>
    <row r="57" spans="1:33" ht="15" thickBot="1"/>
    <row r="58" spans="1:33" ht="41.4">
      <c r="A58" s="75"/>
      <c r="B58" s="77" t="s">
        <v>132</v>
      </c>
      <c r="C58" s="77" t="s">
        <v>132</v>
      </c>
      <c r="D58" s="77" t="s">
        <v>133</v>
      </c>
      <c r="E58" s="77" t="s">
        <v>133</v>
      </c>
      <c r="F58" s="77" t="s">
        <v>134</v>
      </c>
      <c r="G58" s="77" t="s">
        <v>135</v>
      </c>
      <c r="H58" s="77" t="s">
        <v>136</v>
      </c>
      <c r="I58" s="77" t="s">
        <v>137</v>
      </c>
      <c r="J58" s="77" t="s">
        <v>138</v>
      </c>
      <c r="K58" s="77" t="s">
        <v>139</v>
      </c>
      <c r="L58" s="77" t="s">
        <v>140</v>
      </c>
      <c r="M58" s="77" t="s">
        <v>141</v>
      </c>
      <c r="N58" s="77" t="s">
        <v>142</v>
      </c>
      <c r="O58" s="77" t="s">
        <v>143</v>
      </c>
      <c r="P58" s="77" t="s">
        <v>144</v>
      </c>
      <c r="Q58" s="77" t="s">
        <v>145</v>
      </c>
      <c r="R58" s="77" t="s">
        <v>146</v>
      </c>
      <c r="S58" s="77" t="s">
        <v>147</v>
      </c>
      <c r="T58" s="77" t="s">
        <v>148</v>
      </c>
      <c r="U58" s="77" t="s">
        <v>149</v>
      </c>
      <c r="V58" s="77" t="s">
        <v>150</v>
      </c>
      <c r="W58" s="77" t="s">
        <v>151</v>
      </c>
      <c r="X58" s="77" t="s">
        <v>152</v>
      </c>
      <c r="Y58" s="77" t="s">
        <v>153</v>
      </c>
      <c r="Z58" s="77" t="s">
        <v>154</v>
      </c>
      <c r="AA58" s="77" t="s">
        <v>155</v>
      </c>
      <c r="AB58" s="77" t="s">
        <v>156</v>
      </c>
      <c r="AC58" s="77" t="s">
        <v>157</v>
      </c>
      <c r="AD58" s="77" t="s">
        <v>158</v>
      </c>
      <c r="AE58" s="12" t="s">
        <v>159</v>
      </c>
      <c r="AF58" s="12" t="s">
        <v>160</v>
      </c>
      <c r="AG58" s="11"/>
    </row>
    <row r="59" spans="1:33" ht="15" thickBot="1">
      <c r="A59" s="76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13" t="s">
        <v>84</v>
      </c>
      <c r="AF59" s="13" t="s">
        <v>83</v>
      </c>
      <c r="AG59" s="11"/>
    </row>
    <row r="60" spans="1:33" ht="28.2" thickBot="1">
      <c r="A60" s="14" t="s">
        <v>108</v>
      </c>
      <c r="B60" s="13" t="s">
        <v>161</v>
      </c>
      <c r="C60" s="13">
        <v>474</v>
      </c>
      <c r="D60" s="13" t="s">
        <v>84</v>
      </c>
      <c r="E60" s="13" t="s">
        <v>162</v>
      </c>
      <c r="F60" s="13" t="s">
        <v>163</v>
      </c>
      <c r="G60" s="13" t="s">
        <v>83</v>
      </c>
      <c r="H60" s="13" t="s">
        <v>164</v>
      </c>
      <c r="I60" s="13" t="s">
        <v>165</v>
      </c>
      <c r="J60" s="13" t="s">
        <v>166</v>
      </c>
      <c r="K60" s="13" t="s">
        <v>167</v>
      </c>
      <c r="L60" s="13" t="s">
        <v>81</v>
      </c>
      <c r="M60" s="13" t="s">
        <v>80</v>
      </c>
      <c r="N60" s="13" t="s">
        <v>168</v>
      </c>
      <c r="O60" s="13" t="s">
        <v>22</v>
      </c>
      <c r="P60" s="13" t="s">
        <v>20</v>
      </c>
      <c r="Q60" s="13" t="s">
        <v>144</v>
      </c>
      <c r="R60" s="13" t="s">
        <v>23</v>
      </c>
      <c r="S60" s="13" t="s">
        <v>21</v>
      </c>
      <c r="T60" s="13" t="s">
        <v>28</v>
      </c>
      <c r="U60" s="13" t="s">
        <v>30</v>
      </c>
      <c r="V60" s="13" t="s">
        <v>27</v>
      </c>
      <c r="W60" s="13" t="s">
        <v>26</v>
      </c>
      <c r="X60" s="13" t="s">
        <v>25</v>
      </c>
      <c r="Y60" s="13" t="s">
        <v>29</v>
      </c>
      <c r="Z60" s="13" t="s">
        <v>31</v>
      </c>
      <c r="AA60" s="13" t="s">
        <v>24</v>
      </c>
      <c r="AB60" s="13" t="s">
        <v>169</v>
      </c>
      <c r="AC60" s="13" t="s">
        <v>170</v>
      </c>
      <c r="AD60" s="13" t="s">
        <v>171</v>
      </c>
      <c r="AE60" s="13" t="s">
        <v>172</v>
      </c>
      <c r="AF60" s="13" t="s">
        <v>173</v>
      </c>
      <c r="AG60" s="13" t="s">
        <v>174</v>
      </c>
    </row>
    <row r="61" spans="1:33" ht="15" thickBot="1">
      <c r="A61" s="14" t="s">
        <v>175</v>
      </c>
      <c r="B61" s="13" t="s">
        <v>176</v>
      </c>
      <c r="C61" s="15">
        <v>463</v>
      </c>
      <c r="D61" s="15">
        <v>71070</v>
      </c>
      <c r="E61" s="15">
        <v>2152</v>
      </c>
      <c r="F61" s="15">
        <v>1222</v>
      </c>
      <c r="G61" s="15">
        <v>91088</v>
      </c>
      <c r="H61" s="15">
        <v>6164</v>
      </c>
      <c r="I61" s="15">
        <v>8776</v>
      </c>
      <c r="J61" s="15">
        <v>26819</v>
      </c>
      <c r="K61" s="15">
        <v>20443</v>
      </c>
      <c r="L61" s="15">
        <v>19301</v>
      </c>
      <c r="M61" s="15">
        <v>71465</v>
      </c>
      <c r="N61" s="15">
        <v>11279</v>
      </c>
      <c r="O61" s="15">
        <v>2231</v>
      </c>
      <c r="P61" s="15">
        <v>1419</v>
      </c>
      <c r="Q61" s="15">
        <v>90766</v>
      </c>
      <c r="R61" s="15">
        <v>1035</v>
      </c>
      <c r="S61" s="15">
        <v>1389</v>
      </c>
      <c r="T61" s="15">
        <v>1228</v>
      </c>
      <c r="U61" s="15">
        <v>1657</v>
      </c>
      <c r="V61" s="15">
        <v>797</v>
      </c>
      <c r="W61" s="15">
        <v>1103</v>
      </c>
      <c r="X61" s="15">
        <v>445</v>
      </c>
      <c r="Y61" s="15">
        <v>2508</v>
      </c>
      <c r="Z61" s="15">
        <v>2149</v>
      </c>
      <c r="AA61" s="15">
        <v>1582</v>
      </c>
      <c r="AB61" s="15">
        <v>927</v>
      </c>
      <c r="AC61" s="15">
        <v>686</v>
      </c>
      <c r="AD61" s="15">
        <v>831</v>
      </c>
      <c r="AE61" s="15">
        <v>479</v>
      </c>
      <c r="AF61" s="15">
        <v>50</v>
      </c>
      <c r="AG61" s="15">
        <v>1016</v>
      </c>
    </row>
    <row r="62" spans="1:33" ht="28.2" hidden="1" thickBot="1">
      <c r="A62" s="14" t="s">
        <v>177</v>
      </c>
      <c r="B62" s="13" t="s">
        <v>178</v>
      </c>
      <c r="C62" s="15">
        <v>0</v>
      </c>
      <c r="D62" s="15">
        <v>676</v>
      </c>
      <c r="E62" s="15">
        <v>0</v>
      </c>
      <c r="F62" s="15">
        <v>0</v>
      </c>
      <c r="G62" s="15">
        <v>764</v>
      </c>
      <c r="H62" s="15">
        <v>188</v>
      </c>
      <c r="I62" s="15">
        <v>246</v>
      </c>
      <c r="J62" s="15">
        <v>253</v>
      </c>
      <c r="K62" s="15">
        <v>843</v>
      </c>
      <c r="L62" s="15">
        <v>31</v>
      </c>
      <c r="M62" s="15">
        <v>142</v>
      </c>
      <c r="N62" s="15">
        <v>0</v>
      </c>
      <c r="O62" s="15">
        <v>380</v>
      </c>
      <c r="P62" s="15">
        <v>0</v>
      </c>
      <c r="Q62" s="15">
        <v>173</v>
      </c>
      <c r="R62" s="15">
        <v>0</v>
      </c>
      <c r="S62" s="15">
        <v>52</v>
      </c>
      <c r="T62" s="15">
        <v>61</v>
      </c>
      <c r="U62" s="15">
        <v>67</v>
      </c>
      <c r="V62" s="15">
        <v>0</v>
      </c>
      <c r="W62" s="15">
        <v>0</v>
      </c>
      <c r="X62" s="15">
        <v>11</v>
      </c>
      <c r="Y62" s="15">
        <v>0</v>
      </c>
      <c r="Z62" s="15">
        <v>0</v>
      </c>
      <c r="AA62" s="15">
        <v>57</v>
      </c>
      <c r="AB62" s="15">
        <v>0</v>
      </c>
      <c r="AC62" s="15">
        <v>44</v>
      </c>
      <c r="AD62" s="15">
        <v>0</v>
      </c>
      <c r="AE62" s="15">
        <v>0</v>
      </c>
      <c r="AF62" s="15">
        <v>0</v>
      </c>
      <c r="AG62" s="15">
        <v>0</v>
      </c>
    </row>
    <row r="63" spans="1:33" ht="28.2" hidden="1" thickBot="1">
      <c r="A63" s="14" t="s">
        <v>179</v>
      </c>
      <c r="B63" s="13" t="s">
        <v>180</v>
      </c>
      <c r="C63" s="15">
        <v>0</v>
      </c>
      <c r="D63" s="15">
        <v>2596</v>
      </c>
      <c r="E63" s="15">
        <v>0</v>
      </c>
      <c r="F63" s="15">
        <v>0</v>
      </c>
      <c r="G63" s="15">
        <v>4932</v>
      </c>
      <c r="H63" s="15">
        <v>140</v>
      </c>
      <c r="I63" s="15">
        <v>389</v>
      </c>
      <c r="J63" s="15">
        <v>1112</v>
      </c>
      <c r="K63" s="15">
        <v>1709</v>
      </c>
      <c r="L63" s="15">
        <v>85</v>
      </c>
      <c r="M63" s="15">
        <v>968</v>
      </c>
      <c r="N63" s="15">
        <v>0</v>
      </c>
      <c r="O63" s="15">
        <v>0</v>
      </c>
      <c r="P63" s="15">
        <v>0</v>
      </c>
      <c r="Q63" s="15">
        <v>1053</v>
      </c>
      <c r="R63" s="15">
        <v>0</v>
      </c>
      <c r="S63" s="15">
        <v>42</v>
      </c>
      <c r="T63" s="15">
        <v>13</v>
      </c>
      <c r="U63" s="15">
        <v>12</v>
      </c>
      <c r="V63" s="15">
        <v>17</v>
      </c>
      <c r="W63" s="15">
        <v>44</v>
      </c>
      <c r="X63" s="15">
        <v>94</v>
      </c>
      <c r="Y63" s="15">
        <v>0</v>
      </c>
      <c r="Z63" s="15">
        <v>0</v>
      </c>
      <c r="AA63" s="15">
        <v>0</v>
      </c>
      <c r="AB63" s="15">
        <v>0</v>
      </c>
      <c r="AC63" s="15">
        <v>10</v>
      </c>
      <c r="AD63" s="15">
        <v>0</v>
      </c>
      <c r="AE63" s="15">
        <v>0</v>
      </c>
      <c r="AF63" s="15">
        <v>0</v>
      </c>
      <c r="AG63" s="15">
        <v>0</v>
      </c>
    </row>
    <row r="64" spans="1:33" ht="28.2" hidden="1" thickBot="1">
      <c r="A64" s="14" t="s">
        <v>181</v>
      </c>
      <c r="B64" s="13" t="s">
        <v>182</v>
      </c>
      <c r="C64" s="15">
        <v>0</v>
      </c>
      <c r="D64" s="15">
        <v>354</v>
      </c>
      <c r="E64" s="15">
        <v>0</v>
      </c>
      <c r="F64" s="15">
        <v>0</v>
      </c>
      <c r="G64" s="15">
        <v>694</v>
      </c>
      <c r="H64" s="15">
        <v>124</v>
      </c>
      <c r="I64" s="15">
        <v>86</v>
      </c>
      <c r="J64" s="15">
        <v>296</v>
      </c>
      <c r="K64" s="15">
        <v>245</v>
      </c>
      <c r="L64" s="15">
        <v>46</v>
      </c>
      <c r="M64" s="15">
        <v>495</v>
      </c>
      <c r="N64" s="15">
        <v>0</v>
      </c>
      <c r="O64" s="15">
        <v>0</v>
      </c>
      <c r="P64" s="15">
        <v>0</v>
      </c>
      <c r="Q64" s="15">
        <v>541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8.2" hidden="1" thickBot="1">
      <c r="A65" s="14" t="s">
        <v>183</v>
      </c>
      <c r="B65" s="13" t="s">
        <v>184</v>
      </c>
      <c r="C65" s="15">
        <v>463</v>
      </c>
      <c r="D65" s="15">
        <v>71392</v>
      </c>
      <c r="E65" s="15">
        <v>2152</v>
      </c>
      <c r="F65" s="15">
        <v>1222</v>
      </c>
      <c r="G65" s="15">
        <v>91158</v>
      </c>
      <c r="H65" s="15">
        <v>6228</v>
      </c>
      <c r="I65" s="15">
        <v>8936</v>
      </c>
      <c r="J65" s="15">
        <v>26776</v>
      </c>
      <c r="K65" s="15">
        <v>21041</v>
      </c>
      <c r="L65" s="15">
        <v>19286</v>
      </c>
      <c r="M65" s="15">
        <v>71112</v>
      </c>
      <c r="N65" s="15">
        <v>11279</v>
      </c>
      <c r="O65" s="15">
        <v>2611</v>
      </c>
      <c r="P65" s="15">
        <v>1419</v>
      </c>
      <c r="Q65" s="15">
        <v>90398</v>
      </c>
      <c r="R65" s="15">
        <v>1035</v>
      </c>
      <c r="S65" s="15">
        <v>1441</v>
      </c>
      <c r="T65" s="15">
        <v>1289</v>
      </c>
      <c r="U65" s="15">
        <v>1724</v>
      </c>
      <c r="V65" s="15">
        <v>797</v>
      </c>
      <c r="W65" s="15">
        <v>1103</v>
      </c>
      <c r="X65" s="15">
        <v>456</v>
      </c>
      <c r="Y65" s="15">
        <v>2508</v>
      </c>
      <c r="Z65" s="15">
        <v>2149</v>
      </c>
      <c r="AA65" s="15">
        <v>1639</v>
      </c>
      <c r="AB65" s="15">
        <v>927</v>
      </c>
      <c r="AC65" s="15">
        <v>730</v>
      </c>
      <c r="AD65" s="15">
        <v>831</v>
      </c>
      <c r="AE65" s="15">
        <v>479</v>
      </c>
      <c r="AF65" s="15">
        <v>50</v>
      </c>
      <c r="AG65" s="15">
        <v>1016</v>
      </c>
    </row>
    <row r="66" spans="1:33" ht="15" hidden="1" thickBot="1">
      <c r="A66" s="14" t="s">
        <v>185</v>
      </c>
      <c r="B66" s="13" t="s">
        <v>186</v>
      </c>
      <c r="C66" s="16">
        <v>0.28939999999999999</v>
      </c>
      <c r="D66" s="16">
        <v>0.83809999999999996</v>
      </c>
      <c r="E66" s="17">
        <v>0.99080000000000001</v>
      </c>
      <c r="F66" s="16">
        <v>0.39169999999999999</v>
      </c>
      <c r="G66" s="16">
        <v>0.86890000000000001</v>
      </c>
      <c r="H66" s="16">
        <v>0.58819999999999995</v>
      </c>
      <c r="I66" s="16">
        <v>0.74890000000000001</v>
      </c>
      <c r="J66" s="16">
        <v>0.78</v>
      </c>
      <c r="K66" s="16">
        <v>0.72509999999999997</v>
      </c>
      <c r="L66" s="16">
        <v>0.89359999999999995</v>
      </c>
      <c r="M66" s="16">
        <v>0.83709999999999996</v>
      </c>
      <c r="N66" s="17">
        <v>0.98119999999999996</v>
      </c>
      <c r="O66" s="16">
        <v>0.84030000000000005</v>
      </c>
      <c r="P66" s="18">
        <v>1.0283</v>
      </c>
      <c r="Q66" s="16">
        <v>0.84850000000000003</v>
      </c>
      <c r="R66" s="16">
        <v>0.83599999999999997</v>
      </c>
      <c r="S66" s="16">
        <v>0.44490000000000002</v>
      </c>
      <c r="T66" s="16">
        <v>0.71689999999999998</v>
      </c>
      <c r="U66" s="17">
        <v>0.997</v>
      </c>
      <c r="V66" s="16">
        <v>0.7671</v>
      </c>
      <c r="W66" s="16">
        <v>0.84850000000000003</v>
      </c>
      <c r="X66" s="16">
        <v>0.55830000000000002</v>
      </c>
      <c r="Y66" s="16">
        <v>0.76</v>
      </c>
      <c r="Z66" s="16">
        <v>0.83979999999999999</v>
      </c>
      <c r="AA66" s="17">
        <v>0.93059999999999998</v>
      </c>
      <c r="AB66" s="16">
        <v>0.39510000000000001</v>
      </c>
      <c r="AC66" s="16">
        <v>0.31859999999999999</v>
      </c>
      <c r="AD66" s="16">
        <v>0.38600000000000001</v>
      </c>
      <c r="AE66" s="16">
        <v>0.33760000000000001</v>
      </c>
      <c r="AF66" s="16">
        <v>1</v>
      </c>
      <c r="AG66" s="16">
        <v>1</v>
      </c>
    </row>
    <row r="67" spans="1:33" ht="15" hidden="1" thickBot="1">
      <c r="A67" s="14" t="s">
        <v>187</v>
      </c>
      <c r="B67" s="13" t="s">
        <v>188</v>
      </c>
      <c r="C67" s="16">
        <v>0.28939999999999999</v>
      </c>
      <c r="D67" s="16">
        <v>0.84189999999999998</v>
      </c>
      <c r="E67" s="17">
        <v>0.99080000000000001</v>
      </c>
      <c r="F67" s="16">
        <v>0.39169999999999999</v>
      </c>
      <c r="G67" s="16">
        <v>0.86960000000000004</v>
      </c>
      <c r="H67" s="16">
        <v>0.59430000000000005</v>
      </c>
      <c r="I67" s="16">
        <v>0.76249999999999996</v>
      </c>
      <c r="J67" s="16">
        <v>0.77869999999999995</v>
      </c>
      <c r="K67" s="16">
        <v>0.74629999999999996</v>
      </c>
      <c r="L67" s="16">
        <v>0.89290000000000003</v>
      </c>
      <c r="M67" s="16">
        <v>0.83299999999999996</v>
      </c>
      <c r="N67" s="17">
        <v>0.98119999999999996</v>
      </c>
      <c r="O67" s="17">
        <v>0.98340000000000005</v>
      </c>
      <c r="P67" s="18">
        <v>1.0283</v>
      </c>
      <c r="Q67" s="16">
        <v>0.84509999999999996</v>
      </c>
      <c r="R67" s="16">
        <v>0.83599999999999997</v>
      </c>
      <c r="S67" s="16">
        <v>0.46160000000000001</v>
      </c>
      <c r="T67" s="16">
        <v>0.75249999999999995</v>
      </c>
      <c r="U67" s="18">
        <v>1.0373000000000001</v>
      </c>
      <c r="V67" s="16">
        <v>0.7671</v>
      </c>
      <c r="W67" s="16">
        <v>0.84850000000000003</v>
      </c>
      <c r="X67" s="16">
        <v>0.57210000000000005</v>
      </c>
      <c r="Y67" s="16">
        <v>0.76</v>
      </c>
      <c r="Z67" s="16">
        <v>0.83979999999999999</v>
      </c>
      <c r="AA67" s="17">
        <v>0.96409999999999996</v>
      </c>
      <c r="AB67" s="16">
        <v>0.39510000000000001</v>
      </c>
      <c r="AC67" s="16">
        <v>0.33910000000000001</v>
      </c>
      <c r="AD67" s="16">
        <v>0.38600000000000001</v>
      </c>
      <c r="AE67" s="16">
        <v>0.33760000000000001</v>
      </c>
      <c r="AF67" s="16">
        <v>1</v>
      </c>
      <c r="AG67" s="16">
        <v>1</v>
      </c>
    </row>
    <row r="68" spans="1:33" ht="15" hidden="1" thickBot="1">
      <c r="A68" s="14" t="s">
        <v>189</v>
      </c>
      <c r="B68" s="19"/>
      <c r="C68" s="15">
        <v>0</v>
      </c>
      <c r="D68" s="15">
        <v>0.2</v>
      </c>
      <c r="E68" s="15">
        <v>0</v>
      </c>
      <c r="F68" s="15">
        <v>0</v>
      </c>
      <c r="G68" s="15">
        <v>0.3</v>
      </c>
      <c r="H68" s="15">
        <v>0.2</v>
      </c>
      <c r="I68" s="15">
        <v>0.2</v>
      </c>
      <c r="J68" s="15">
        <v>0.3</v>
      </c>
      <c r="K68" s="15">
        <v>0.3</v>
      </c>
      <c r="L68" s="15">
        <v>0.3</v>
      </c>
      <c r="M68" s="15">
        <v>0.3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8.2" thickBot="1">
      <c r="A69" s="14" t="s">
        <v>190</v>
      </c>
      <c r="B69" s="13" t="s">
        <v>191</v>
      </c>
      <c r="C69" s="15">
        <v>1600</v>
      </c>
      <c r="D69" s="15">
        <v>84796</v>
      </c>
      <c r="E69" s="15">
        <v>2172</v>
      </c>
      <c r="F69" s="15">
        <v>3120</v>
      </c>
      <c r="G69" s="15">
        <v>104832</v>
      </c>
      <c r="H69" s="15">
        <v>10479.379999999999</v>
      </c>
      <c r="I69" s="15">
        <v>11718.71</v>
      </c>
      <c r="J69" s="15">
        <v>34384</v>
      </c>
      <c r="K69" s="15">
        <v>28195</v>
      </c>
      <c r="L69" s="15">
        <v>21600</v>
      </c>
      <c r="M69" s="15">
        <v>85371</v>
      </c>
      <c r="N69" s="15">
        <v>11495.55</v>
      </c>
      <c r="O69" s="15">
        <v>2655</v>
      </c>
      <c r="P69" s="15">
        <v>1380</v>
      </c>
      <c r="Q69" s="15">
        <v>106971</v>
      </c>
      <c r="R69" s="15">
        <v>1238</v>
      </c>
      <c r="S69" s="15">
        <v>3122</v>
      </c>
      <c r="T69" s="15">
        <v>1713</v>
      </c>
      <c r="U69" s="15">
        <v>1662</v>
      </c>
      <c r="V69" s="15">
        <v>1039</v>
      </c>
      <c r="W69" s="15">
        <v>1300</v>
      </c>
      <c r="X69" s="15">
        <v>797</v>
      </c>
      <c r="Y69" s="15">
        <v>3300</v>
      </c>
      <c r="Z69" s="15">
        <v>2559</v>
      </c>
      <c r="AA69" s="15">
        <v>1700</v>
      </c>
      <c r="AB69" s="15">
        <v>2346</v>
      </c>
      <c r="AC69" s="15">
        <v>2153</v>
      </c>
      <c r="AD69" s="15">
        <v>2153</v>
      </c>
      <c r="AE69" s="15">
        <v>1419</v>
      </c>
      <c r="AF69" s="15">
        <v>50</v>
      </c>
      <c r="AG69" s="15">
        <v>1016</v>
      </c>
    </row>
    <row r="70" spans="1:33" ht="15" hidden="1" thickBot="1">
      <c r="A70" s="14" t="s">
        <v>192</v>
      </c>
      <c r="B70" s="13" t="s">
        <v>193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9"/>
      <c r="AG70" s="19"/>
    </row>
    <row r="71" spans="1:33" ht="28.2" hidden="1" thickBot="1">
      <c r="A71" s="14" t="s">
        <v>192</v>
      </c>
      <c r="B71" s="13" t="s">
        <v>194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16">
        <v>0</v>
      </c>
      <c r="P71" s="16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19"/>
      <c r="AG71" s="19"/>
    </row>
    <row r="72" spans="1:33" ht="15" hidden="1" thickBot="1">
      <c r="A72" s="14" t="s">
        <v>192</v>
      </c>
      <c r="B72" s="13" t="s">
        <v>195</v>
      </c>
      <c r="C72" s="15">
        <v>0</v>
      </c>
      <c r="D72" s="15">
        <v>0</v>
      </c>
      <c r="E72" s="15">
        <v>0</v>
      </c>
      <c r="F72" s="15">
        <v>0</v>
      </c>
      <c r="G72" s="15">
        <v>9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9"/>
      <c r="AG72" s="19"/>
    </row>
    <row r="73" spans="1:33" ht="28.2" hidden="1" thickBot="1">
      <c r="A73" s="14" t="s">
        <v>192</v>
      </c>
      <c r="B73" s="13" t="s">
        <v>191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9"/>
      <c r="AG73" s="19"/>
    </row>
    <row r="74" spans="1:33" ht="28.2" hidden="1" thickBot="1">
      <c r="A74" s="14" t="s">
        <v>192</v>
      </c>
      <c r="B74" s="13" t="s">
        <v>196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9"/>
      <c r="AG74" s="19"/>
    </row>
    <row r="75" spans="1:33" ht="28.2" hidden="1" thickBot="1">
      <c r="A75" s="14" t="s">
        <v>192</v>
      </c>
      <c r="B75" s="13" t="s">
        <v>197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9"/>
      <c r="AG75" s="19"/>
    </row>
    <row r="76" spans="1:33" ht="28.2" hidden="1" thickBot="1">
      <c r="A76" s="14" t="s">
        <v>192</v>
      </c>
      <c r="B76" s="13" t="s">
        <v>198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9"/>
      <c r="AG76" s="19"/>
    </row>
    <row r="77" spans="1:33" ht="15" hidden="1" thickBot="1">
      <c r="A77" s="14" t="s">
        <v>46</v>
      </c>
      <c r="B77" s="13" t="s">
        <v>193</v>
      </c>
      <c r="C77" s="16">
        <v>0</v>
      </c>
      <c r="D77" s="16">
        <v>0.60699999999999998</v>
      </c>
      <c r="E77" s="16">
        <v>0</v>
      </c>
      <c r="F77" s="16">
        <v>0.39200000000000002</v>
      </c>
      <c r="G77" s="16">
        <v>0.77300000000000002</v>
      </c>
      <c r="H77" s="16">
        <v>0.40400000000000003</v>
      </c>
      <c r="I77" s="16">
        <v>0.71399999999999997</v>
      </c>
      <c r="J77" s="16">
        <v>0.77700000000000002</v>
      </c>
      <c r="K77" s="16">
        <v>0.69699999999999995</v>
      </c>
      <c r="L77" s="16">
        <v>0</v>
      </c>
      <c r="M77" s="16">
        <v>0.745</v>
      </c>
      <c r="N77" s="16">
        <v>0.85799999999999998</v>
      </c>
      <c r="O77" s="18">
        <v>1.2242999999999999</v>
      </c>
      <c r="P77" s="18">
        <v>1.6277999999999999</v>
      </c>
      <c r="Q77" s="16">
        <v>0</v>
      </c>
      <c r="R77" s="17">
        <v>0.93879999999999997</v>
      </c>
      <c r="S77" s="16">
        <v>0.62</v>
      </c>
      <c r="T77" s="18">
        <v>1.5696000000000001</v>
      </c>
      <c r="U77" s="18">
        <v>3.0417000000000001</v>
      </c>
      <c r="V77" s="18">
        <v>1.375</v>
      </c>
      <c r="W77" s="18">
        <v>1.2749999999999999</v>
      </c>
      <c r="X77" s="16">
        <v>0.64670000000000005</v>
      </c>
      <c r="Y77" s="16">
        <v>0.83</v>
      </c>
      <c r="Z77" s="18">
        <v>2.4700000000000002</v>
      </c>
      <c r="AA77" s="16">
        <v>0.62549999999999994</v>
      </c>
      <c r="AB77" s="16">
        <v>0</v>
      </c>
      <c r="AC77" s="16">
        <v>0</v>
      </c>
      <c r="AD77" s="16">
        <v>0</v>
      </c>
      <c r="AE77" s="16">
        <v>0</v>
      </c>
      <c r="AF77" s="19"/>
      <c r="AG77" s="19"/>
    </row>
    <row r="78" spans="1:33" ht="28.2" hidden="1" thickBot="1">
      <c r="A78" s="14" t="s">
        <v>46</v>
      </c>
      <c r="B78" s="13" t="s">
        <v>194</v>
      </c>
      <c r="C78" s="20">
        <v>0</v>
      </c>
      <c r="D78" s="20">
        <v>0.57999999999999996</v>
      </c>
      <c r="E78" s="20">
        <v>0</v>
      </c>
      <c r="F78" s="20">
        <v>0.39</v>
      </c>
      <c r="G78" s="20">
        <v>0.72</v>
      </c>
      <c r="H78" s="20">
        <v>0.39</v>
      </c>
      <c r="I78" s="20">
        <v>0.68</v>
      </c>
      <c r="J78" s="20">
        <v>0.74</v>
      </c>
      <c r="K78" s="20">
        <v>0.66</v>
      </c>
      <c r="L78" s="20">
        <v>0</v>
      </c>
      <c r="M78" s="20">
        <v>0.74</v>
      </c>
      <c r="N78" s="20">
        <v>0.86</v>
      </c>
      <c r="O78" s="18">
        <v>1.2242999999999999</v>
      </c>
      <c r="P78" s="18">
        <v>1.6277999999999999</v>
      </c>
      <c r="Q78" s="20">
        <v>0</v>
      </c>
      <c r="R78" s="17">
        <v>0.93879999999999997</v>
      </c>
      <c r="S78" s="16">
        <v>0.62</v>
      </c>
      <c r="T78" s="18">
        <v>1.5696000000000001</v>
      </c>
      <c r="U78" s="18">
        <v>3.0333000000000001</v>
      </c>
      <c r="V78" s="18">
        <v>1.375</v>
      </c>
      <c r="W78" s="18">
        <v>1.2250000000000001</v>
      </c>
      <c r="X78" s="16">
        <v>0.56000000000000005</v>
      </c>
      <c r="Y78" s="16">
        <v>0.83</v>
      </c>
      <c r="Z78" s="18">
        <v>2.4700000000000002</v>
      </c>
      <c r="AA78" s="16">
        <v>0.62549999999999994</v>
      </c>
      <c r="AB78" s="20">
        <v>0</v>
      </c>
      <c r="AC78" s="20">
        <v>0</v>
      </c>
      <c r="AD78" s="20">
        <v>0</v>
      </c>
      <c r="AE78" s="20">
        <v>0</v>
      </c>
      <c r="AF78" s="19"/>
      <c r="AG78" s="19"/>
    </row>
    <row r="79" spans="1:33" ht="15" hidden="1" thickBot="1">
      <c r="A79" s="14" t="s">
        <v>46</v>
      </c>
      <c r="B79" s="13" t="s">
        <v>195</v>
      </c>
      <c r="C79" s="15">
        <v>0</v>
      </c>
      <c r="D79" s="15">
        <v>7848</v>
      </c>
      <c r="E79" s="15">
        <v>0</v>
      </c>
      <c r="F79" s="15">
        <v>1222</v>
      </c>
      <c r="G79" s="15">
        <v>21460</v>
      </c>
      <c r="H79" s="15">
        <v>1380</v>
      </c>
      <c r="I79" s="15">
        <v>1819</v>
      </c>
      <c r="J79" s="15">
        <v>11713</v>
      </c>
      <c r="K79" s="15">
        <v>7877</v>
      </c>
      <c r="L79" s="15">
        <v>0</v>
      </c>
      <c r="M79" s="15">
        <v>29869</v>
      </c>
      <c r="N79" s="15">
        <v>6581</v>
      </c>
      <c r="O79" s="15">
        <v>857</v>
      </c>
      <c r="P79" s="15">
        <v>293</v>
      </c>
      <c r="Q79" s="15">
        <v>0</v>
      </c>
      <c r="R79" s="15">
        <v>46</v>
      </c>
      <c r="S79" s="15">
        <v>466</v>
      </c>
      <c r="T79" s="15">
        <v>358</v>
      </c>
      <c r="U79" s="15">
        <v>312</v>
      </c>
      <c r="V79" s="15">
        <v>33</v>
      </c>
      <c r="W79" s="15">
        <v>245</v>
      </c>
      <c r="X79" s="15">
        <v>84</v>
      </c>
      <c r="Y79" s="15">
        <v>498</v>
      </c>
      <c r="Z79" s="15">
        <v>494</v>
      </c>
      <c r="AA79" s="15">
        <v>162</v>
      </c>
      <c r="AB79" s="15">
        <v>0</v>
      </c>
      <c r="AC79" s="15">
        <v>0</v>
      </c>
      <c r="AD79" s="15">
        <v>0</v>
      </c>
      <c r="AE79" s="15">
        <v>0</v>
      </c>
      <c r="AF79" s="19"/>
      <c r="AG79" s="19"/>
    </row>
    <row r="80" spans="1:33" ht="28.2" hidden="1" thickBot="1">
      <c r="A80" s="14" t="s">
        <v>46</v>
      </c>
      <c r="B80" s="13" t="s">
        <v>191</v>
      </c>
      <c r="C80" s="15">
        <v>0</v>
      </c>
      <c r="D80" s="15">
        <v>13294.95</v>
      </c>
      <c r="E80" s="15">
        <v>0</v>
      </c>
      <c r="F80" s="15">
        <v>3120</v>
      </c>
      <c r="G80" s="15">
        <v>29645</v>
      </c>
      <c r="H80" s="15">
        <v>3464</v>
      </c>
      <c r="I80" s="15">
        <v>2644</v>
      </c>
      <c r="J80" s="15">
        <v>15853</v>
      </c>
      <c r="K80" s="15">
        <v>12177</v>
      </c>
      <c r="L80" s="15">
        <v>0</v>
      </c>
      <c r="M80" s="15">
        <v>40353</v>
      </c>
      <c r="N80" s="15">
        <v>7669</v>
      </c>
      <c r="O80" s="15">
        <v>700</v>
      </c>
      <c r="P80" s="15">
        <v>180</v>
      </c>
      <c r="Q80" s="15">
        <v>43853</v>
      </c>
      <c r="R80" s="15">
        <v>49</v>
      </c>
      <c r="S80" s="15">
        <v>800</v>
      </c>
      <c r="T80" s="15">
        <v>230</v>
      </c>
      <c r="U80" s="15">
        <v>120</v>
      </c>
      <c r="V80" s="15">
        <v>24</v>
      </c>
      <c r="W80" s="15">
        <v>200</v>
      </c>
      <c r="X80" s="15">
        <v>150</v>
      </c>
      <c r="Y80" s="15">
        <v>600</v>
      </c>
      <c r="Z80" s="15">
        <v>200</v>
      </c>
      <c r="AA80" s="15">
        <v>259</v>
      </c>
      <c r="AB80" s="15">
        <v>0</v>
      </c>
      <c r="AC80" s="15">
        <v>0</v>
      </c>
      <c r="AD80" s="15">
        <v>0</v>
      </c>
      <c r="AE80" s="15">
        <v>0</v>
      </c>
      <c r="AF80" s="19"/>
      <c r="AG80" s="19"/>
    </row>
    <row r="81" spans="1:33" ht="28.2" hidden="1" thickBot="1">
      <c r="A81" s="14" t="s">
        <v>46</v>
      </c>
      <c r="B81" s="13" t="s">
        <v>196</v>
      </c>
      <c r="C81" s="15">
        <v>0</v>
      </c>
      <c r="D81" s="15">
        <v>180</v>
      </c>
      <c r="E81" s="15">
        <v>0</v>
      </c>
      <c r="F81" s="15">
        <v>0</v>
      </c>
      <c r="G81" s="15">
        <v>1428</v>
      </c>
      <c r="H81" s="15">
        <v>49</v>
      </c>
      <c r="I81" s="15">
        <v>87</v>
      </c>
      <c r="J81" s="15">
        <v>568</v>
      </c>
      <c r="K81" s="15">
        <v>515</v>
      </c>
      <c r="L81" s="15">
        <v>85</v>
      </c>
      <c r="M81" s="15">
        <v>75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1</v>
      </c>
      <c r="V81" s="15">
        <v>0</v>
      </c>
      <c r="W81" s="15">
        <v>10</v>
      </c>
      <c r="X81" s="15">
        <v>13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9"/>
      <c r="AG81" s="19"/>
    </row>
    <row r="82" spans="1:33" ht="28.2" hidden="1" thickBot="1">
      <c r="A82" s="14" t="s">
        <v>46</v>
      </c>
      <c r="B82" s="13" t="s">
        <v>197</v>
      </c>
      <c r="C82" s="15">
        <v>0</v>
      </c>
      <c r="D82" s="15">
        <v>42</v>
      </c>
      <c r="E82" s="15">
        <v>0</v>
      </c>
      <c r="F82" s="15">
        <v>0</v>
      </c>
      <c r="G82" s="15">
        <v>24</v>
      </c>
      <c r="H82" s="15">
        <v>26</v>
      </c>
      <c r="I82" s="15">
        <v>13</v>
      </c>
      <c r="J82" s="15">
        <v>196</v>
      </c>
      <c r="K82" s="15">
        <v>248</v>
      </c>
      <c r="L82" s="15">
        <v>0</v>
      </c>
      <c r="M82" s="15">
        <v>108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30</v>
      </c>
      <c r="T82" s="15">
        <v>3</v>
      </c>
      <c r="U82" s="15">
        <v>52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9"/>
      <c r="AG82" s="19"/>
    </row>
    <row r="83" spans="1:33" ht="28.2" hidden="1" thickBot="1">
      <c r="A83" s="14" t="s">
        <v>46</v>
      </c>
      <c r="B83" s="13" t="s">
        <v>198</v>
      </c>
      <c r="C83" s="15">
        <v>0</v>
      </c>
      <c r="D83" s="15">
        <v>131</v>
      </c>
      <c r="E83" s="15">
        <v>0</v>
      </c>
      <c r="F83" s="15">
        <v>0</v>
      </c>
      <c r="G83" s="15">
        <v>137</v>
      </c>
      <c r="H83" s="15">
        <v>54</v>
      </c>
      <c r="I83" s="15">
        <v>32</v>
      </c>
      <c r="J83" s="15">
        <v>158</v>
      </c>
      <c r="K83" s="15">
        <v>149</v>
      </c>
      <c r="L83" s="15">
        <v>0</v>
      </c>
      <c r="M83" s="15">
        <v>303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9"/>
      <c r="AG83" s="19"/>
    </row>
    <row r="84" spans="1:33" ht="15" hidden="1" thickBot="1">
      <c r="A84" s="14" t="s">
        <v>44</v>
      </c>
      <c r="B84" s="13" t="s">
        <v>193</v>
      </c>
      <c r="C84" s="16">
        <v>0</v>
      </c>
      <c r="D84" s="16">
        <v>0.81200000000000006</v>
      </c>
      <c r="E84" s="16">
        <v>0</v>
      </c>
      <c r="F84" s="16">
        <v>0</v>
      </c>
      <c r="G84" s="21">
        <v>0.94799999999999995</v>
      </c>
      <c r="H84" s="16">
        <v>0.52</v>
      </c>
      <c r="I84" s="16">
        <v>0.82099999999999995</v>
      </c>
      <c r="J84" s="16">
        <v>0.70899999999999996</v>
      </c>
      <c r="K84" s="16">
        <v>0.77700000000000002</v>
      </c>
      <c r="L84" s="16">
        <v>0</v>
      </c>
      <c r="M84" s="16">
        <v>0.628</v>
      </c>
      <c r="N84" s="16">
        <v>0</v>
      </c>
      <c r="O84" s="18">
        <v>1.5056</v>
      </c>
      <c r="P84" s="18">
        <v>1.8962000000000001</v>
      </c>
      <c r="Q84" s="16">
        <v>0</v>
      </c>
      <c r="R84" s="18">
        <v>1.278</v>
      </c>
      <c r="S84" s="16">
        <v>0.25679999999999997</v>
      </c>
      <c r="T84" s="16">
        <v>0.58589999999999998</v>
      </c>
      <c r="U84" s="17">
        <v>0.97399999999999998</v>
      </c>
      <c r="V84" s="16">
        <v>0.43609999999999999</v>
      </c>
      <c r="W84" s="16">
        <v>0.69199999999999995</v>
      </c>
      <c r="X84" s="17">
        <v>0.92689999999999995</v>
      </c>
      <c r="Y84" s="18">
        <v>1.0222</v>
      </c>
      <c r="Z84" s="16">
        <v>0.67200000000000004</v>
      </c>
      <c r="AA84" s="18">
        <v>1.4563999999999999</v>
      </c>
      <c r="AB84" s="16">
        <v>0</v>
      </c>
      <c r="AC84" s="16">
        <v>0</v>
      </c>
      <c r="AD84" s="16">
        <v>0</v>
      </c>
      <c r="AE84" s="16">
        <v>0</v>
      </c>
      <c r="AF84" s="19"/>
      <c r="AG84" s="19"/>
    </row>
    <row r="85" spans="1:33" ht="28.2" hidden="1" thickBot="1">
      <c r="A85" s="14" t="s">
        <v>44</v>
      </c>
      <c r="B85" s="13" t="s">
        <v>194</v>
      </c>
      <c r="C85" s="20">
        <v>0</v>
      </c>
      <c r="D85" s="20">
        <v>0.77</v>
      </c>
      <c r="E85" s="20">
        <v>0</v>
      </c>
      <c r="F85" s="20">
        <v>0</v>
      </c>
      <c r="G85" s="20">
        <v>0.8</v>
      </c>
      <c r="H85" s="20">
        <v>0.52</v>
      </c>
      <c r="I85" s="20">
        <v>0.8</v>
      </c>
      <c r="J85" s="20">
        <v>0.67</v>
      </c>
      <c r="K85" s="20">
        <v>0.69</v>
      </c>
      <c r="L85" s="20">
        <v>0</v>
      </c>
      <c r="M85" s="20">
        <v>0.62</v>
      </c>
      <c r="N85" s="20">
        <v>0</v>
      </c>
      <c r="O85" s="18">
        <v>1.5056</v>
      </c>
      <c r="P85" s="18">
        <v>1.8962000000000001</v>
      </c>
      <c r="Q85" s="20">
        <v>0</v>
      </c>
      <c r="R85" s="18">
        <v>1.278</v>
      </c>
      <c r="S85" s="16">
        <v>0.24759999999999999</v>
      </c>
      <c r="T85" s="16">
        <v>0.5746</v>
      </c>
      <c r="U85" s="17">
        <v>0.97219999999999995</v>
      </c>
      <c r="V85" s="16">
        <v>0.41789999999999999</v>
      </c>
      <c r="W85" s="16">
        <v>0.67379999999999995</v>
      </c>
      <c r="X85" s="16">
        <v>0.50919999999999999</v>
      </c>
      <c r="Y85" s="18">
        <v>1.0222</v>
      </c>
      <c r="Z85" s="16">
        <v>0.67200000000000004</v>
      </c>
      <c r="AA85" s="18">
        <v>1.4563999999999999</v>
      </c>
      <c r="AB85" s="20">
        <v>0</v>
      </c>
      <c r="AC85" s="20">
        <v>0</v>
      </c>
      <c r="AD85" s="20">
        <v>0</v>
      </c>
      <c r="AE85" s="20">
        <v>0</v>
      </c>
      <c r="AF85" s="19"/>
      <c r="AG85" s="19"/>
    </row>
    <row r="86" spans="1:33" ht="15" hidden="1" thickBot="1">
      <c r="A86" s="14" t="s">
        <v>44</v>
      </c>
      <c r="B86" s="13" t="s">
        <v>195</v>
      </c>
      <c r="C86" s="15">
        <v>0</v>
      </c>
      <c r="D86" s="15">
        <v>8301</v>
      </c>
      <c r="E86" s="15">
        <v>0</v>
      </c>
      <c r="F86" s="15">
        <v>0</v>
      </c>
      <c r="G86" s="15">
        <v>8199</v>
      </c>
      <c r="H86" s="15">
        <v>930</v>
      </c>
      <c r="I86" s="15">
        <v>2705</v>
      </c>
      <c r="J86" s="15">
        <v>2535</v>
      </c>
      <c r="K86" s="15">
        <v>1984</v>
      </c>
      <c r="L86" s="15">
        <v>0</v>
      </c>
      <c r="M86" s="15">
        <v>2347</v>
      </c>
      <c r="N86" s="15">
        <v>0</v>
      </c>
      <c r="O86" s="15">
        <v>592</v>
      </c>
      <c r="P86" s="15">
        <v>413</v>
      </c>
      <c r="Q86" s="15">
        <v>0</v>
      </c>
      <c r="R86" s="15">
        <v>331</v>
      </c>
      <c r="S86" s="15">
        <v>78</v>
      </c>
      <c r="T86" s="15">
        <v>448</v>
      </c>
      <c r="U86" s="15">
        <v>561</v>
      </c>
      <c r="V86" s="15">
        <v>92</v>
      </c>
      <c r="W86" s="15">
        <v>185</v>
      </c>
      <c r="X86" s="15">
        <v>89</v>
      </c>
      <c r="Y86" s="15">
        <v>849</v>
      </c>
      <c r="Z86" s="15">
        <v>702</v>
      </c>
      <c r="AA86" s="15">
        <v>527</v>
      </c>
      <c r="AB86" s="15">
        <v>0</v>
      </c>
      <c r="AC86" s="15">
        <v>0</v>
      </c>
      <c r="AD86" s="15">
        <v>0</v>
      </c>
      <c r="AE86" s="15">
        <v>0</v>
      </c>
      <c r="AF86" s="19"/>
      <c r="AG86" s="19"/>
    </row>
    <row r="87" spans="1:33" ht="28.2" hidden="1" thickBot="1">
      <c r="A87" s="14" t="s">
        <v>44</v>
      </c>
      <c r="B87" s="13" t="s">
        <v>191</v>
      </c>
      <c r="C87" s="15">
        <v>0</v>
      </c>
      <c r="D87" s="15">
        <v>10750.83</v>
      </c>
      <c r="E87" s="15">
        <v>0</v>
      </c>
      <c r="F87" s="15">
        <v>0</v>
      </c>
      <c r="G87" s="15">
        <v>10683.35</v>
      </c>
      <c r="H87" s="15">
        <v>1849</v>
      </c>
      <c r="I87" s="15">
        <v>3513</v>
      </c>
      <c r="J87" s="15">
        <v>3793</v>
      </c>
      <c r="K87" s="15">
        <v>2936</v>
      </c>
      <c r="L87" s="15">
        <v>0</v>
      </c>
      <c r="M87" s="15">
        <v>3808.739</v>
      </c>
      <c r="N87" s="15">
        <v>0</v>
      </c>
      <c r="O87" s="15">
        <v>645.6</v>
      </c>
      <c r="P87" s="15">
        <v>217.8</v>
      </c>
      <c r="Q87" s="15">
        <v>4208.7389999999996</v>
      </c>
      <c r="R87" s="15">
        <v>259</v>
      </c>
      <c r="S87" s="15">
        <v>327.11259999999999</v>
      </c>
      <c r="T87" s="15">
        <v>795.29430000000002</v>
      </c>
      <c r="U87" s="15">
        <v>579.06960000000004</v>
      </c>
      <c r="V87" s="15">
        <v>220.13570000000001</v>
      </c>
      <c r="W87" s="15">
        <v>274.5806</v>
      </c>
      <c r="X87" s="15">
        <v>174.7774</v>
      </c>
      <c r="Y87" s="15">
        <v>830.57180000000005</v>
      </c>
      <c r="Z87" s="15">
        <v>1044.6510000000001</v>
      </c>
      <c r="AA87" s="15">
        <v>401</v>
      </c>
      <c r="AB87" s="15">
        <v>0</v>
      </c>
      <c r="AC87" s="15">
        <v>0</v>
      </c>
      <c r="AD87" s="15">
        <v>0</v>
      </c>
      <c r="AE87" s="15">
        <v>0</v>
      </c>
      <c r="AF87" s="19"/>
      <c r="AG87" s="19"/>
    </row>
    <row r="88" spans="1:33" ht="28.2" hidden="1" thickBot="1">
      <c r="A88" s="14" t="s">
        <v>44</v>
      </c>
      <c r="B88" s="13" t="s">
        <v>196</v>
      </c>
      <c r="C88" s="15">
        <v>0</v>
      </c>
      <c r="D88" s="15">
        <v>406</v>
      </c>
      <c r="E88" s="15">
        <v>0</v>
      </c>
      <c r="F88" s="15">
        <v>0</v>
      </c>
      <c r="G88" s="15">
        <v>1428</v>
      </c>
      <c r="H88" s="15">
        <v>9</v>
      </c>
      <c r="I88" s="15">
        <v>63</v>
      </c>
      <c r="J88" s="15">
        <v>157</v>
      </c>
      <c r="K88" s="15">
        <v>253</v>
      </c>
      <c r="L88" s="15">
        <v>0</v>
      </c>
      <c r="M88" s="15">
        <v>45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3</v>
      </c>
      <c r="T88" s="15">
        <v>9</v>
      </c>
      <c r="U88" s="15">
        <v>1</v>
      </c>
      <c r="V88" s="15">
        <v>4</v>
      </c>
      <c r="W88" s="15">
        <v>5</v>
      </c>
      <c r="X88" s="15">
        <v>73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9"/>
      <c r="AG88" s="19"/>
    </row>
    <row r="89" spans="1:33" ht="28.2" hidden="1" thickBot="1">
      <c r="A89" s="14" t="s">
        <v>44</v>
      </c>
      <c r="B89" s="13" t="s">
        <v>197</v>
      </c>
      <c r="C89" s="15">
        <v>0</v>
      </c>
      <c r="D89" s="15">
        <v>25</v>
      </c>
      <c r="E89" s="15">
        <v>0</v>
      </c>
      <c r="F89" s="15">
        <v>0</v>
      </c>
      <c r="G89" s="15">
        <v>506</v>
      </c>
      <c r="H89" s="15">
        <v>46</v>
      </c>
      <c r="I89" s="15">
        <v>127</v>
      </c>
      <c r="J89" s="15">
        <v>0</v>
      </c>
      <c r="K89" s="15">
        <v>52</v>
      </c>
      <c r="L89" s="15">
        <v>0</v>
      </c>
      <c r="M89" s="15">
        <v>0</v>
      </c>
      <c r="N89" s="15">
        <v>0</v>
      </c>
      <c r="O89" s="15">
        <v>380</v>
      </c>
      <c r="P89" s="15">
        <v>0</v>
      </c>
      <c r="Q89" s="15">
        <v>0</v>
      </c>
      <c r="R89" s="15">
        <v>0</v>
      </c>
      <c r="S89" s="15">
        <v>3</v>
      </c>
      <c r="T89" s="15">
        <v>9</v>
      </c>
      <c r="U89" s="15">
        <v>2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57</v>
      </c>
      <c r="AB89" s="15">
        <v>0</v>
      </c>
      <c r="AC89" s="15">
        <v>0</v>
      </c>
      <c r="AD89" s="15">
        <v>0</v>
      </c>
      <c r="AE89" s="15">
        <v>0</v>
      </c>
      <c r="AF89" s="19"/>
      <c r="AG89" s="19"/>
    </row>
    <row r="90" spans="1:33" ht="28.2" hidden="1" thickBot="1">
      <c r="A90" s="14" t="s">
        <v>44</v>
      </c>
      <c r="B90" s="13" t="s">
        <v>198</v>
      </c>
      <c r="C90" s="15">
        <v>0</v>
      </c>
      <c r="D90" s="15">
        <v>13</v>
      </c>
      <c r="E90" s="15">
        <v>0</v>
      </c>
      <c r="F90" s="15">
        <v>0</v>
      </c>
      <c r="G90" s="15">
        <v>174</v>
      </c>
      <c r="H90" s="15">
        <v>23</v>
      </c>
      <c r="I90" s="15">
        <v>11</v>
      </c>
      <c r="J90" s="15">
        <v>2</v>
      </c>
      <c r="K90" s="15">
        <v>8</v>
      </c>
      <c r="L90" s="15">
        <v>0</v>
      </c>
      <c r="M90" s="15">
        <v>3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9"/>
      <c r="AG90" s="19"/>
    </row>
    <row r="91" spans="1:33" ht="15" hidden="1" thickBot="1">
      <c r="A91" s="14" t="s">
        <v>199</v>
      </c>
      <c r="B91" s="13" t="s">
        <v>193</v>
      </c>
      <c r="C91" s="16">
        <v>0</v>
      </c>
      <c r="D91" s="16">
        <v>0.81699999999999995</v>
      </c>
      <c r="E91" s="16">
        <v>0</v>
      </c>
      <c r="F91" s="16">
        <v>0</v>
      </c>
      <c r="G91" s="16">
        <v>0.82199999999999995</v>
      </c>
      <c r="H91" s="16">
        <v>0.40300000000000002</v>
      </c>
      <c r="I91" s="16">
        <v>0.48599999999999999</v>
      </c>
      <c r="J91" s="16">
        <v>0.61799999999999999</v>
      </c>
      <c r="K91" s="16">
        <v>0.63700000000000001</v>
      </c>
      <c r="L91" s="16">
        <v>0.75600000000000001</v>
      </c>
      <c r="M91" s="16">
        <v>0.77300000000000002</v>
      </c>
      <c r="N91" s="16">
        <v>0.64800000000000002</v>
      </c>
      <c r="O91" s="16">
        <v>0.56220000000000003</v>
      </c>
      <c r="P91" s="16">
        <v>0.77270000000000005</v>
      </c>
      <c r="Q91" s="16">
        <v>0</v>
      </c>
      <c r="R91" s="16">
        <v>0.57999999999999996</v>
      </c>
      <c r="S91" s="16">
        <v>0.88500000000000001</v>
      </c>
      <c r="T91" s="16">
        <v>0.54179999999999995</v>
      </c>
      <c r="U91" s="16">
        <v>0.53749999999999998</v>
      </c>
      <c r="V91" s="18">
        <v>1.3833</v>
      </c>
      <c r="W91" s="18">
        <v>1.46</v>
      </c>
      <c r="X91" s="16">
        <v>0.49430000000000002</v>
      </c>
      <c r="Y91" s="17">
        <v>0.99670000000000003</v>
      </c>
      <c r="Z91" s="17">
        <v>0.90669999999999995</v>
      </c>
      <c r="AA91" s="18">
        <v>1.08</v>
      </c>
      <c r="AB91" s="16">
        <v>0</v>
      </c>
      <c r="AC91" s="16">
        <v>0</v>
      </c>
      <c r="AD91" s="16">
        <v>0</v>
      </c>
      <c r="AE91" s="16">
        <v>0</v>
      </c>
      <c r="AF91" s="19"/>
      <c r="AG91" s="19"/>
    </row>
    <row r="92" spans="1:33" ht="28.2" hidden="1" thickBot="1">
      <c r="A92" s="14" t="s">
        <v>199</v>
      </c>
      <c r="B92" s="13" t="s">
        <v>194</v>
      </c>
      <c r="C92" s="20">
        <v>0</v>
      </c>
      <c r="D92" s="20">
        <v>0.78</v>
      </c>
      <c r="E92" s="20">
        <v>0</v>
      </c>
      <c r="F92" s="20">
        <v>0</v>
      </c>
      <c r="G92" s="20">
        <v>0.78</v>
      </c>
      <c r="H92" s="20">
        <v>0.39</v>
      </c>
      <c r="I92" s="20">
        <v>0.46</v>
      </c>
      <c r="J92" s="20">
        <v>0.6</v>
      </c>
      <c r="K92" s="20">
        <v>0.6</v>
      </c>
      <c r="L92" s="20">
        <v>0.75</v>
      </c>
      <c r="M92" s="20">
        <v>0.76</v>
      </c>
      <c r="N92" s="20">
        <v>0.65</v>
      </c>
      <c r="O92" s="16">
        <v>0.56220000000000003</v>
      </c>
      <c r="P92" s="16">
        <v>0.77270000000000005</v>
      </c>
      <c r="Q92" s="20">
        <v>0</v>
      </c>
      <c r="R92" s="16">
        <v>0.57999999999999996</v>
      </c>
      <c r="S92" s="16">
        <v>0.84499999999999997</v>
      </c>
      <c r="T92" s="16">
        <v>0.53369999999999995</v>
      </c>
      <c r="U92" s="16">
        <v>0.48749999999999999</v>
      </c>
      <c r="V92" s="18">
        <v>1.2833000000000001</v>
      </c>
      <c r="W92" s="18">
        <v>1.36</v>
      </c>
      <c r="X92" s="16">
        <v>0.47120000000000001</v>
      </c>
      <c r="Y92" s="17">
        <v>0.99670000000000003</v>
      </c>
      <c r="Z92" s="17">
        <v>0.90669999999999995</v>
      </c>
      <c r="AA92" s="18">
        <v>1.08</v>
      </c>
      <c r="AB92" s="20">
        <v>0</v>
      </c>
      <c r="AC92" s="20">
        <v>0</v>
      </c>
      <c r="AD92" s="20">
        <v>0</v>
      </c>
      <c r="AE92" s="20">
        <v>0</v>
      </c>
      <c r="AF92" s="19"/>
      <c r="AG92" s="19"/>
    </row>
    <row r="93" spans="1:33" ht="15" hidden="1" thickBot="1">
      <c r="A93" s="14" t="s">
        <v>199</v>
      </c>
      <c r="B93" s="13" t="s">
        <v>195</v>
      </c>
      <c r="C93" s="15">
        <v>0</v>
      </c>
      <c r="D93" s="15">
        <v>7692</v>
      </c>
      <c r="E93" s="15">
        <v>0</v>
      </c>
      <c r="F93" s="15">
        <v>0</v>
      </c>
      <c r="G93" s="15">
        <v>10395</v>
      </c>
      <c r="H93" s="15">
        <v>697</v>
      </c>
      <c r="I93" s="15">
        <v>572</v>
      </c>
      <c r="J93" s="15">
        <v>1879</v>
      </c>
      <c r="K93" s="15">
        <v>1895</v>
      </c>
      <c r="L93" s="15">
        <v>3484</v>
      </c>
      <c r="M93" s="15">
        <v>5164</v>
      </c>
      <c r="N93" s="15">
        <v>421</v>
      </c>
      <c r="O93" s="15">
        <v>170</v>
      </c>
      <c r="P93" s="15">
        <v>170</v>
      </c>
      <c r="Q93" s="15">
        <v>0</v>
      </c>
      <c r="R93" s="15">
        <v>87</v>
      </c>
      <c r="S93" s="15">
        <v>166</v>
      </c>
      <c r="T93" s="15">
        <v>65</v>
      </c>
      <c r="U93" s="15">
        <v>37</v>
      </c>
      <c r="V93" s="15">
        <v>77</v>
      </c>
      <c r="W93" s="15">
        <v>204</v>
      </c>
      <c r="X93" s="15">
        <v>60</v>
      </c>
      <c r="Y93" s="15">
        <v>299</v>
      </c>
      <c r="Z93" s="15">
        <v>136</v>
      </c>
      <c r="AA93" s="15">
        <v>162</v>
      </c>
      <c r="AB93" s="15">
        <v>0</v>
      </c>
      <c r="AC93" s="15">
        <v>0</v>
      </c>
      <c r="AD93" s="15">
        <v>0</v>
      </c>
      <c r="AE93" s="15">
        <v>0</v>
      </c>
      <c r="AF93" s="19"/>
      <c r="AG93" s="19"/>
    </row>
    <row r="94" spans="1:33" ht="28.2" hidden="1" thickBot="1">
      <c r="A94" s="14" t="s">
        <v>199</v>
      </c>
      <c r="B94" s="13" t="s">
        <v>191</v>
      </c>
      <c r="C94" s="15">
        <v>0</v>
      </c>
      <c r="D94" s="15">
        <v>10019.67</v>
      </c>
      <c r="E94" s="15">
        <v>0</v>
      </c>
      <c r="F94" s="15">
        <v>0</v>
      </c>
      <c r="G94" s="15">
        <v>13273.02</v>
      </c>
      <c r="H94" s="15">
        <v>1799.79</v>
      </c>
      <c r="I94" s="15">
        <v>1357.126</v>
      </c>
      <c r="J94" s="15">
        <v>3130</v>
      </c>
      <c r="K94" s="15">
        <v>3332.68</v>
      </c>
      <c r="L94" s="15">
        <v>4630</v>
      </c>
      <c r="M94" s="15">
        <v>6742.558</v>
      </c>
      <c r="N94" s="15">
        <v>650</v>
      </c>
      <c r="O94" s="15">
        <v>302.39710000000002</v>
      </c>
      <c r="P94" s="15">
        <v>220</v>
      </c>
      <c r="Q94" s="15">
        <v>11372.56</v>
      </c>
      <c r="R94" s="15">
        <v>150</v>
      </c>
      <c r="S94" s="15">
        <v>200</v>
      </c>
      <c r="T94" s="15">
        <v>123.66419999999999</v>
      </c>
      <c r="U94" s="15">
        <v>80</v>
      </c>
      <c r="V94" s="15">
        <v>60</v>
      </c>
      <c r="W94" s="15">
        <v>150</v>
      </c>
      <c r="X94" s="15">
        <v>129.4632</v>
      </c>
      <c r="Y94" s="15">
        <v>300</v>
      </c>
      <c r="Z94" s="15">
        <v>150</v>
      </c>
      <c r="AA94" s="15">
        <v>150</v>
      </c>
      <c r="AB94" s="15">
        <v>0</v>
      </c>
      <c r="AC94" s="15">
        <v>0</v>
      </c>
      <c r="AD94" s="15">
        <v>0</v>
      </c>
      <c r="AE94" s="15">
        <v>0</v>
      </c>
      <c r="AF94" s="19"/>
      <c r="AG94" s="19"/>
    </row>
    <row r="95" spans="1:33" ht="28.2" hidden="1" thickBot="1">
      <c r="A95" s="14" t="s">
        <v>199</v>
      </c>
      <c r="B95" s="13" t="s">
        <v>196</v>
      </c>
      <c r="C95" s="15">
        <v>0</v>
      </c>
      <c r="D95" s="15">
        <v>341</v>
      </c>
      <c r="E95" s="15">
        <v>0</v>
      </c>
      <c r="F95" s="15">
        <v>0</v>
      </c>
      <c r="G95" s="15">
        <v>416</v>
      </c>
      <c r="H95" s="15">
        <v>30</v>
      </c>
      <c r="I95" s="15">
        <v>40</v>
      </c>
      <c r="J95" s="15">
        <v>52</v>
      </c>
      <c r="K95" s="15">
        <v>134</v>
      </c>
      <c r="L95" s="15">
        <v>0</v>
      </c>
      <c r="M95" s="15">
        <v>33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8</v>
      </c>
      <c r="T95" s="15">
        <v>1</v>
      </c>
      <c r="U95" s="15">
        <v>4</v>
      </c>
      <c r="V95" s="15">
        <v>6</v>
      </c>
      <c r="W95" s="15">
        <v>15</v>
      </c>
      <c r="X95" s="15">
        <v>3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9"/>
      <c r="AG95" s="19"/>
    </row>
    <row r="96" spans="1:33" ht="28.2" hidden="1" thickBot="1">
      <c r="A96" s="14" t="s">
        <v>199</v>
      </c>
      <c r="B96" s="13" t="s">
        <v>197</v>
      </c>
      <c r="C96" s="15">
        <v>0</v>
      </c>
      <c r="D96" s="15">
        <v>152</v>
      </c>
      <c r="E96" s="15">
        <v>0</v>
      </c>
      <c r="F96" s="15">
        <v>0</v>
      </c>
      <c r="G96" s="15">
        <v>97</v>
      </c>
      <c r="H96" s="15">
        <v>22</v>
      </c>
      <c r="I96" s="15">
        <v>59</v>
      </c>
      <c r="J96" s="15">
        <v>32</v>
      </c>
      <c r="K96" s="15">
        <v>128</v>
      </c>
      <c r="L96" s="15">
        <v>17</v>
      </c>
      <c r="M96" s="15">
        <v>12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3</v>
      </c>
      <c r="T96" s="15">
        <v>1</v>
      </c>
      <c r="U96" s="15">
        <v>2</v>
      </c>
      <c r="V96" s="15">
        <v>0</v>
      </c>
      <c r="W96" s="15">
        <v>0</v>
      </c>
      <c r="X96" s="15">
        <v>1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9"/>
      <c r="AG96" s="19"/>
    </row>
    <row r="97" spans="1:33" ht="28.2" hidden="1" thickBot="1">
      <c r="A97" s="14" t="s">
        <v>199</v>
      </c>
      <c r="B97" s="13" t="s">
        <v>198</v>
      </c>
      <c r="C97" s="15">
        <v>0</v>
      </c>
      <c r="D97" s="15">
        <v>62</v>
      </c>
      <c r="E97" s="15">
        <v>0</v>
      </c>
      <c r="F97" s="15">
        <v>0</v>
      </c>
      <c r="G97" s="15">
        <v>82</v>
      </c>
      <c r="H97" s="15">
        <v>24</v>
      </c>
      <c r="I97" s="15">
        <v>11</v>
      </c>
      <c r="J97" s="15">
        <v>28</v>
      </c>
      <c r="K97" s="15">
        <v>33</v>
      </c>
      <c r="L97" s="15">
        <v>12</v>
      </c>
      <c r="M97" s="15">
        <v>66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9"/>
      <c r="AG97" s="19"/>
    </row>
    <row r="98" spans="1:33" ht="15" hidden="1" thickBot="1">
      <c r="A98" s="14" t="s">
        <v>45</v>
      </c>
      <c r="B98" s="13" t="s">
        <v>193</v>
      </c>
      <c r="C98" s="16">
        <v>0</v>
      </c>
      <c r="D98" s="17">
        <v>0.95099999999999996</v>
      </c>
      <c r="E98" s="16">
        <v>0.84799999999999998</v>
      </c>
      <c r="F98" s="16">
        <v>0</v>
      </c>
      <c r="G98" s="16">
        <v>0.89500000000000002</v>
      </c>
      <c r="H98" s="16">
        <v>0.81299999999999994</v>
      </c>
      <c r="I98" s="17">
        <v>0.95099999999999996</v>
      </c>
      <c r="J98" s="21">
        <v>0.94299999999999995</v>
      </c>
      <c r="K98" s="18">
        <v>1.024</v>
      </c>
      <c r="L98" s="17">
        <v>0.95199999999999996</v>
      </c>
      <c r="M98" s="21">
        <v>0.93400000000000005</v>
      </c>
      <c r="N98" s="21">
        <v>0.90400000000000003</v>
      </c>
      <c r="O98" s="16">
        <v>0.71389999999999998</v>
      </c>
      <c r="P98" s="16">
        <v>0.78600000000000003</v>
      </c>
      <c r="Q98" s="16">
        <v>0</v>
      </c>
      <c r="R98" s="18">
        <v>1.3652</v>
      </c>
      <c r="S98" s="16">
        <v>0.31280000000000002</v>
      </c>
      <c r="T98" s="16">
        <v>0.51459999999999995</v>
      </c>
      <c r="U98" s="17">
        <v>0.95789999999999997</v>
      </c>
      <c r="V98" s="16">
        <v>0.6512</v>
      </c>
      <c r="W98" s="16">
        <v>0.57099999999999995</v>
      </c>
      <c r="X98" s="16">
        <v>0.55789999999999995</v>
      </c>
      <c r="Y98" s="16">
        <v>0.26939999999999997</v>
      </c>
      <c r="Z98" s="16">
        <v>0.4713</v>
      </c>
      <c r="AA98" s="18">
        <v>1.2706999999999999</v>
      </c>
      <c r="AB98" s="16">
        <v>0</v>
      </c>
      <c r="AC98" s="16">
        <v>0</v>
      </c>
      <c r="AD98" s="16">
        <v>0</v>
      </c>
      <c r="AE98" s="16">
        <v>0</v>
      </c>
      <c r="AF98" s="19"/>
      <c r="AG98" s="19"/>
    </row>
    <row r="99" spans="1:33" ht="28.2" hidden="1" thickBot="1">
      <c r="A99" s="14" t="s">
        <v>45</v>
      </c>
      <c r="B99" s="13" t="s">
        <v>194</v>
      </c>
      <c r="C99" s="20">
        <v>0</v>
      </c>
      <c r="D99" s="22">
        <v>0.92</v>
      </c>
      <c r="E99" s="20">
        <v>0.85</v>
      </c>
      <c r="F99" s="20">
        <v>0</v>
      </c>
      <c r="G99" s="20">
        <v>0.89</v>
      </c>
      <c r="H99" s="20">
        <v>0.81</v>
      </c>
      <c r="I99" s="22">
        <v>0.92</v>
      </c>
      <c r="J99" s="20">
        <v>0.9</v>
      </c>
      <c r="K99" s="22">
        <v>0.94</v>
      </c>
      <c r="L99" s="22">
        <v>0.95</v>
      </c>
      <c r="M99" s="20">
        <v>0.9</v>
      </c>
      <c r="N99" s="22">
        <v>0.9</v>
      </c>
      <c r="O99" s="16">
        <v>0.71389999999999998</v>
      </c>
      <c r="P99" s="16">
        <v>0.78600000000000003</v>
      </c>
      <c r="Q99" s="20">
        <v>0</v>
      </c>
      <c r="R99" s="18">
        <v>1.3652</v>
      </c>
      <c r="S99" s="16">
        <v>0.27660000000000001</v>
      </c>
      <c r="T99" s="16">
        <v>0.50729999999999997</v>
      </c>
      <c r="U99" s="17">
        <v>0.94650000000000001</v>
      </c>
      <c r="V99" s="16">
        <v>0.64149999999999996</v>
      </c>
      <c r="W99" s="16">
        <v>0.55400000000000005</v>
      </c>
      <c r="X99" s="16">
        <v>0.54210000000000003</v>
      </c>
      <c r="Y99" s="16">
        <v>0.26939999999999997</v>
      </c>
      <c r="Z99" s="16">
        <v>0.4713</v>
      </c>
      <c r="AA99" s="18">
        <v>1.2706999999999999</v>
      </c>
      <c r="AB99" s="20">
        <v>0</v>
      </c>
      <c r="AC99" s="20">
        <v>0</v>
      </c>
      <c r="AD99" s="20">
        <v>0</v>
      </c>
      <c r="AE99" s="20">
        <v>0</v>
      </c>
      <c r="AF99" s="19"/>
      <c r="AG99" s="19"/>
    </row>
    <row r="100" spans="1:33" ht="15" hidden="1" thickBot="1">
      <c r="A100" s="14" t="s">
        <v>45</v>
      </c>
      <c r="B100" s="13" t="s">
        <v>195</v>
      </c>
      <c r="C100" s="15">
        <v>0</v>
      </c>
      <c r="D100" s="15">
        <v>12813</v>
      </c>
      <c r="E100" s="15">
        <v>560</v>
      </c>
      <c r="F100" s="15">
        <v>0</v>
      </c>
      <c r="G100" s="15">
        <v>20483</v>
      </c>
      <c r="H100" s="15">
        <v>1196</v>
      </c>
      <c r="I100" s="15">
        <v>1547</v>
      </c>
      <c r="J100" s="15">
        <v>3592</v>
      </c>
      <c r="K100" s="15">
        <v>2776</v>
      </c>
      <c r="L100" s="15">
        <v>9139</v>
      </c>
      <c r="M100" s="15">
        <v>9064</v>
      </c>
      <c r="N100" s="15">
        <v>1762</v>
      </c>
      <c r="O100" s="15">
        <v>272</v>
      </c>
      <c r="P100" s="15">
        <v>180</v>
      </c>
      <c r="Q100" s="15">
        <v>0</v>
      </c>
      <c r="R100" s="15">
        <v>314</v>
      </c>
      <c r="S100" s="15">
        <v>220</v>
      </c>
      <c r="T100" s="15">
        <v>104</v>
      </c>
      <c r="U100" s="15">
        <v>493</v>
      </c>
      <c r="V100" s="15">
        <v>263</v>
      </c>
      <c r="W100" s="15">
        <v>195</v>
      </c>
      <c r="X100" s="15">
        <v>94</v>
      </c>
      <c r="Y100" s="15">
        <v>253</v>
      </c>
      <c r="Z100" s="15">
        <v>353</v>
      </c>
      <c r="AA100" s="15">
        <v>291</v>
      </c>
      <c r="AB100" s="15">
        <v>0</v>
      </c>
      <c r="AC100" s="15">
        <v>0</v>
      </c>
      <c r="AD100" s="15">
        <v>0</v>
      </c>
      <c r="AE100" s="15">
        <v>0</v>
      </c>
      <c r="AF100" s="19"/>
      <c r="AG100" s="19"/>
    </row>
    <row r="101" spans="1:33" ht="28.2" hidden="1" thickBot="1">
      <c r="A101" s="14" t="s">
        <v>45</v>
      </c>
      <c r="B101" s="13" t="s">
        <v>191</v>
      </c>
      <c r="C101" s="15">
        <v>0</v>
      </c>
      <c r="D101" s="15">
        <v>13913.32</v>
      </c>
      <c r="E101" s="15">
        <v>660</v>
      </c>
      <c r="F101" s="15">
        <v>0</v>
      </c>
      <c r="G101" s="15">
        <v>23027</v>
      </c>
      <c r="H101" s="15">
        <v>1515</v>
      </c>
      <c r="I101" s="15">
        <v>1711</v>
      </c>
      <c r="J101" s="15">
        <v>3950</v>
      </c>
      <c r="K101" s="15">
        <v>3105</v>
      </c>
      <c r="L101" s="15">
        <v>9600</v>
      </c>
      <c r="M101" s="15">
        <v>10006</v>
      </c>
      <c r="N101" s="15">
        <v>1950</v>
      </c>
      <c r="O101" s="15">
        <v>381</v>
      </c>
      <c r="P101" s="15">
        <v>229</v>
      </c>
      <c r="Q101" s="15">
        <v>19606</v>
      </c>
      <c r="R101" s="15">
        <v>230</v>
      </c>
      <c r="S101" s="15">
        <v>828</v>
      </c>
      <c r="T101" s="15">
        <v>274</v>
      </c>
      <c r="U101" s="15">
        <v>523</v>
      </c>
      <c r="V101" s="15">
        <v>410</v>
      </c>
      <c r="W101" s="15">
        <v>352</v>
      </c>
      <c r="X101" s="15">
        <v>190</v>
      </c>
      <c r="Y101" s="15">
        <v>939</v>
      </c>
      <c r="Z101" s="15">
        <v>749</v>
      </c>
      <c r="AA101" s="15">
        <v>229</v>
      </c>
      <c r="AB101" s="15">
        <v>0</v>
      </c>
      <c r="AC101" s="15">
        <v>0</v>
      </c>
      <c r="AD101" s="15">
        <v>0</v>
      </c>
      <c r="AE101" s="15">
        <v>0</v>
      </c>
      <c r="AF101" s="19"/>
      <c r="AG101" s="19"/>
    </row>
    <row r="102" spans="1:33" ht="28.2" hidden="1" thickBot="1">
      <c r="A102" s="14" t="s">
        <v>45</v>
      </c>
      <c r="B102" s="13" t="s">
        <v>196</v>
      </c>
      <c r="C102" s="15">
        <v>0</v>
      </c>
      <c r="D102" s="15">
        <v>324</v>
      </c>
      <c r="E102" s="15">
        <v>0</v>
      </c>
      <c r="F102" s="15">
        <v>0</v>
      </c>
      <c r="G102" s="15">
        <v>114</v>
      </c>
      <c r="H102" s="15">
        <v>6</v>
      </c>
      <c r="I102" s="15">
        <v>56</v>
      </c>
      <c r="J102" s="15">
        <v>175</v>
      </c>
      <c r="K102" s="15">
        <v>252</v>
      </c>
      <c r="L102" s="15">
        <v>0</v>
      </c>
      <c r="M102" s="15">
        <v>274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30</v>
      </c>
      <c r="T102" s="15">
        <v>2</v>
      </c>
      <c r="U102" s="15">
        <v>6</v>
      </c>
      <c r="V102" s="15">
        <v>4</v>
      </c>
      <c r="W102" s="15">
        <v>6</v>
      </c>
      <c r="X102" s="15">
        <v>3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9"/>
      <c r="AG102" s="19"/>
    </row>
    <row r="103" spans="1:33" ht="28.2" hidden="1" thickBot="1">
      <c r="A103" s="14" t="s">
        <v>45</v>
      </c>
      <c r="B103" s="13" t="s">
        <v>197</v>
      </c>
      <c r="C103" s="15">
        <v>0</v>
      </c>
      <c r="D103" s="15">
        <v>88</v>
      </c>
      <c r="E103" s="15">
        <v>0</v>
      </c>
      <c r="F103" s="15">
        <v>0</v>
      </c>
      <c r="G103" s="15">
        <v>23</v>
      </c>
      <c r="H103" s="15">
        <v>41</v>
      </c>
      <c r="I103" s="15">
        <v>36</v>
      </c>
      <c r="J103" s="15">
        <v>1</v>
      </c>
      <c r="K103" s="15">
        <v>184</v>
      </c>
      <c r="L103" s="15">
        <v>0</v>
      </c>
      <c r="M103" s="15">
        <v>8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9</v>
      </c>
      <c r="T103" s="15">
        <v>35</v>
      </c>
      <c r="U103" s="15">
        <v>2</v>
      </c>
      <c r="V103" s="15">
        <v>0</v>
      </c>
      <c r="W103" s="15">
        <v>0</v>
      </c>
      <c r="X103" s="15">
        <v>9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9"/>
      <c r="AG103" s="19"/>
    </row>
    <row r="104" spans="1:33" ht="28.2" hidden="1" thickBot="1">
      <c r="A104" s="14" t="s">
        <v>45</v>
      </c>
      <c r="B104" s="13" t="s">
        <v>198</v>
      </c>
      <c r="C104" s="15">
        <v>0</v>
      </c>
      <c r="D104" s="15">
        <v>70</v>
      </c>
      <c r="E104" s="15">
        <v>0</v>
      </c>
      <c r="F104" s="15">
        <v>0</v>
      </c>
      <c r="G104" s="15">
        <v>96</v>
      </c>
      <c r="H104" s="15">
        <v>12</v>
      </c>
      <c r="I104" s="15">
        <v>11</v>
      </c>
      <c r="J104" s="15">
        <v>42</v>
      </c>
      <c r="K104" s="15">
        <v>33</v>
      </c>
      <c r="L104" s="15">
        <v>24</v>
      </c>
      <c r="M104" s="15">
        <v>72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9"/>
      <c r="AG104" s="19"/>
    </row>
    <row r="105" spans="1:33" ht="15" hidden="1" thickBot="1">
      <c r="A105" s="14" t="s">
        <v>49</v>
      </c>
      <c r="B105" s="13" t="s">
        <v>193</v>
      </c>
      <c r="C105" s="16">
        <v>0</v>
      </c>
      <c r="D105" s="17">
        <v>1</v>
      </c>
      <c r="E105" s="16">
        <v>0</v>
      </c>
      <c r="F105" s="16">
        <v>0</v>
      </c>
      <c r="G105" s="18">
        <v>1.095</v>
      </c>
      <c r="H105" s="21">
        <v>0.93600000000000005</v>
      </c>
      <c r="I105" s="16">
        <v>0.88900000000000001</v>
      </c>
      <c r="J105" s="17">
        <v>0.97699999999999998</v>
      </c>
      <c r="K105" s="21">
        <v>0.93700000000000006</v>
      </c>
      <c r="L105" s="18">
        <v>1.0900000000000001</v>
      </c>
      <c r="M105" s="17">
        <v>0.96599999999999997</v>
      </c>
      <c r="N105" s="18">
        <v>1.173</v>
      </c>
      <c r="O105" s="16">
        <v>0.44879999999999998</v>
      </c>
      <c r="P105" s="16">
        <v>0.51019999999999999</v>
      </c>
      <c r="Q105" s="16">
        <v>0</v>
      </c>
      <c r="R105" s="18">
        <v>2.125</v>
      </c>
      <c r="S105" s="16">
        <v>0.89600000000000002</v>
      </c>
      <c r="T105" s="18">
        <v>1.1879999999999999</v>
      </c>
      <c r="U105" s="16">
        <v>0.55600000000000005</v>
      </c>
      <c r="V105" s="18">
        <v>1.33</v>
      </c>
      <c r="W105" s="18">
        <v>1.121</v>
      </c>
      <c r="X105" s="16">
        <v>0.70599999999999996</v>
      </c>
      <c r="Y105" s="16">
        <v>0.21099999999999999</v>
      </c>
      <c r="Z105" s="16">
        <v>0.52800000000000002</v>
      </c>
      <c r="AA105" s="16">
        <v>0.45500000000000002</v>
      </c>
      <c r="AB105" s="16">
        <v>0</v>
      </c>
      <c r="AC105" s="16">
        <v>0</v>
      </c>
      <c r="AD105" s="16">
        <v>0</v>
      </c>
      <c r="AE105" s="16">
        <v>0</v>
      </c>
      <c r="AF105" s="19"/>
      <c r="AG105" s="19"/>
    </row>
    <row r="106" spans="1:33" ht="28.2" hidden="1" thickBot="1">
      <c r="A106" s="14" t="s">
        <v>49</v>
      </c>
      <c r="B106" s="13" t="s">
        <v>194</v>
      </c>
      <c r="C106" s="20">
        <v>0</v>
      </c>
      <c r="D106" s="20">
        <v>0.81</v>
      </c>
      <c r="E106" s="20">
        <v>0</v>
      </c>
      <c r="F106" s="20">
        <v>0</v>
      </c>
      <c r="G106" s="23">
        <v>1.04</v>
      </c>
      <c r="H106" s="20">
        <v>0.85</v>
      </c>
      <c r="I106" s="20">
        <v>0.75</v>
      </c>
      <c r="J106" s="22">
        <v>0.94</v>
      </c>
      <c r="K106" s="20">
        <v>0.88</v>
      </c>
      <c r="L106" s="23">
        <v>1.0900000000000001</v>
      </c>
      <c r="M106" s="24">
        <v>0.96</v>
      </c>
      <c r="N106" s="23">
        <v>1.17</v>
      </c>
      <c r="O106" s="16">
        <v>0.44879999999999998</v>
      </c>
      <c r="P106" s="16">
        <v>0.51019999999999999</v>
      </c>
      <c r="Q106" s="20">
        <v>0</v>
      </c>
      <c r="R106" s="23">
        <v>2.13</v>
      </c>
      <c r="S106" s="20">
        <v>0.9</v>
      </c>
      <c r="T106" s="23">
        <v>1.1599999999999999</v>
      </c>
      <c r="U106" s="20">
        <v>0.56000000000000005</v>
      </c>
      <c r="V106" s="23">
        <v>1.33</v>
      </c>
      <c r="W106" s="23">
        <v>1.1200000000000001</v>
      </c>
      <c r="X106" s="20">
        <v>0.66</v>
      </c>
      <c r="Y106" s="20">
        <v>0.21</v>
      </c>
      <c r="Z106" s="20">
        <v>0.53</v>
      </c>
      <c r="AA106" s="20">
        <v>0.46</v>
      </c>
      <c r="AB106" s="20">
        <v>0</v>
      </c>
      <c r="AC106" s="20">
        <v>0</v>
      </c>
      <c r="AD106" s="20">
        <v>0</v>
      </c>
      <c r="AE106" s="20">
        <v>0</v>
      </c>
      <c r="AF106" s="19"/>
      <c r="AG106" s="19"/>
    </row>
    <row r="107" spans="1:33" ht="15" hidden="1" thickBot="1">
      <c r="A107" s="14" t="s">
        <v>49</v>
      </c>
      <c r="B107" s="13" t="s">
        <v>195</v>
      </c>
      <c r="C107" s="15">
        <v>0</v>
      </c>
      <c r="D107" s="15">
        <v>4243</v>
      </c>
      <c r="E107" s="15">
        <v>0</v>
      </c>
      <c r="F107" s="15">
        <v>0</v>
      </c>
      <c r="G107" s="15">
        <v>5347</v>
      </c>
      <c r="H107" s="15">
        <v>362</v>
      </c>
      <c r="I107" s="15">
        <v>385</v>
      </c>
      <c r="J107" s="15">
        <v>1420</v>
      </c>
      <c r="K107" s="15">
        <v>898</v>
      </c>
      <c r="L107" s="15">
        <v>2092</v>
      </c>
      <c r="M107" s="15">
        <v>6306</v>
      </c>
      <c r="N107" s="15">
        <v>2201</v>
      </c>
      <c r="O107" s="15">
        <v>41</v>
      </c>
      <c r="P107" s="15">
        <v>46</v>
      </c>
      <c r="Q107" s="15">
        <v>0</v>
      </c>
      <c r="R107" s="15">
        <v>51</v>
      </c>
      <c r="S107" s="15">
        <v>53</v>
      </c>
      <c r="T107" s="15">
        <v>40</v>
      </c>
      <c r="U107" s="15">
        <v>69</v>
      </c>
      <c r="V107" s="15">
        <v>92</v>
      </c>
      <c r="W107" s="15">
        <v>53</v>
      </c>
      <c r="X107" s="15">
        <v>12</v>
      </c>
      <c r="Y107" s="15">
        <v>60</v>
      </c>
      <c r="Z107" s="15">
        <v>64</v>
      </c>
      <c r="AA107" s="15">
        <v>56</v>
      </c>
      <c r="AB107" s="15">
        <v>0</v>
      </c>
      <c r="AC107" s="15">
        <v>0</v>
      </c>
      <c r="AD107" s="15">
        <v>0</v>
      </c>
      <c r="AE107" s="15">
        <v>0</v>
      </c>
      <c r="AF107" s="19"/>
      <c r="AG107" s="19"/>
    </row>
    <row r="108" spans="1:33" ht="28.2" hidden="1" thickBot="1">
      <c r="A108" s="14" t="s">
        <v>49</v>
      </c>
      <c r="B108" s="13" t="s">
        <v>191</v>
      </c>
      <c r="C108" s="15">
        <v>0</v>
      </c>
      <c r="D108" s="15">
        <v>5548.8559999999998</v>
      </c>
      <c r="E108" s="15">
        <v>0</v>
      </c>
      <c r="F108" s="15">
        <v>0</v>
      </c>
      <c r="G108" s="15">
        <v>5095.2759999999998</v>
      </c>
      <c r="H108" s="15">
        <v>439.97269999999997</v>
      </c>
      <c r="I108" s="15">
        <v>518.7749</v>
      </c>
      <c r="J108" s="15">
        <v>1491</v>
      </c>
      <c r="K108" s="15">
        <v>1053.5164</v>
      </c>
      <c r="L108" s="15">
        <v>1920</v>
      </c>
      <c r="M108" s="15">
        <v>6567</v>
      </c>
      <c r="N108" s="15">
        <v>1876</v>
      </c>
      <c r="O108" s="15">
        <v>91.346050000000005</v>
      </c>
      <c r="P108" s="15">
        <v>90.167929999999998</v>
      </c>
      <c r="Q108" s="15">
        <v>8487</v>
      </c>
      <c r="R108" s="15">
        <v>24</v>
      </c>
      <c r="S108" s="15">
        <v>61.361319999999999</v>
      </c>
      <c r="T108" s="15">
        <v>37.034309999999998</v>
      </c>
      <c r="U108" s="15">
        <v>125.7916</v>
      </c>
      <c r="V108" s="15">
        <v>69.166390000000007</v>
      </c>
      <c r="W108" s="15">
        <v>47.259709999999998</v>
      </c>
      <c r="X108" s="15">
        <v>19.829339999999998</v>
      </c>
      <c r="Y108" s="15">
        <v>284.45190000000002</v>
      </c>
      <c r="Z108" s="15">
        <v>121.2422</v>
      </c>
      <c r="AA108" s="15">
        <v>123</v>
      </c>
      <c r="AB108" s="15">
        <v>0</v>
      </c>
      <c r="AC108" s="15">
        <v>0</v>
      </c>
      <c r="AD108" s="15">
        <v>0</v>
      </c>
      <c r="AE108" s="15">
        <v>0</v>
      </c>
      <c r="AF108" s="19"/>
      <c r="AG108" s="19"/>
    </row>
    <row r="109" spans="1:33" ht="28.2" hidden="1" thickBot="1">
      <c r="A109" s="14" t="s">
        <v>49</v>
      </c>
      <c r="B109" s="13" t="s">
        <v>196</v>
      </c>
      <c r="C109" s="15">
        <v>0</v>
      </c>
      <c r="D109" s="15">
        <v>1022</v>
      </c>
      <c r="E109" s="15">
        <v>0</v>
      </c>
      <c r="F109" s="15">
        <v>0</v>
      </c>
      <c r="G109" s="15">
        <v>206</v>
      </c>
      <c r="H109" s="15">
        <v>37</v>
      </c>
      <c r="I109" s="15">
        <v>74</v>
      </c>
      <c r="J109" s="15">
        <v>62</v>
      </c>
      <c r="K109" s="15">
        <v>59</v>
      </c>
      <c r="L109" s="15">
        <v>0</v>
      </c>
      <c r="M109" s="15">
        <v>41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1</v>
      </c>
      <c r="U109" s="15">
        <v>0</v>
      </c>
      <c r="V109" s="15">
        <v>0</v>
      </c>
      <c r="W109" s="15">
        <v>0</v>
      </c>
      <c r="X109" s="15">
        <v>1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9"/>
      <c r="AG109" s="19"/>
    </row>
    <row r="110" spans="1:33" ht="28.2" hidden="1" thickBot="1">
      <c r="A110" s="14" t="s">
        <v>49</v>
      </c>
      <c r="B110" s="13" t="s">
        <v>197</v>
      </c>
      <c r="C110" s="15">
        <v>0</v>
      </c>
      <c r="D110" s="15">
        <v>282</v>
      </c>
      <c r="E110" s="15">
        <v>0</v>
      </c>
      <c r="F110" s="15">
        <v>0</v>
      </c>
      <c r="G110" s="15">
        <v>25</v>
      </c>
      <c r="H110" s="15">
        <v>14</v>
      </c>
      <c r="I110" s="15">
        <v>3</v>
      </c>
      <c r="J110" s="15">
        <v>19</v>
      </c>
      <c r="K110" s="15">
        <v>32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2</v>
      </c>
      <c r="T110" s="15">
        <v>3</v>
      </c>
      <c r="U110" s="15">
        <v>1</v>
      </c>
      <c r="V110" s="15">
        <v>0</v>
      </c>
      <c r="W110" s="15">
        <v>0</v>
      </c>
      <c r="X110" s="15">
        <v>1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9"/>
      <c r="AG110" s="19"/>
    </row>
    <row r="111" spans="1:33" ht="28.2" hidden="1" thickBot="1">
      <c r="A111" s="14" t="s">
        <v>49</v>
      </c>
      <c r="B111" s="13" t="s">
        <v>198</v>
      </c>
      <c r="C111" s="15">
        <v>0</v>
      </c>
      <c r="D111" s="15">
        <v>29</v>
      </c>
      <c r="E111" s="15">
        <v>0</v>
      </c>
      <c r="F111" s="15">
        <v>0</v>
      </c>
      <c r="G111" s="15">
        <v>92</v>
      </c>
      <c r="H111" s="15">
        <v>1</v>
      </c>
      <c r="I111" s="15">
        <v>1</v>
      </c>
      <c r="J111" s="15">
        <v>44</v>
      </c>
      <c r="K111" s="15">
        <v>2</v>
      </c>
      <c r="L111" s="15">
        <v>0</v>
      </c>
      <c r="M111" s="15">
        <v>9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9"/>
      <c r="AG111" s="19"/>
    </row>
    <row r="112" spans="1:33" ht="15" hidden="1" thickBot="1">
      <c r="A112" s="14" t="s">
        <v>43</v>
      </c>
      <c r="B112" s="13" t="s">
        <v>193</v>
      </c>
      <c r="C112" s="16">
        <v>0.28899999999999998</v>
      </c>
      <c r="D112" s="16">
        <v>0.84199999999999997</v>
      </c>
      <c r="E112" s="18">
        <v>1.0529999999999999</v>
      </c>
      <c r="F112" s="16">
        <v>0</v>
      </c>
      <c r="G112" s="21">
        <v>0.92500000000000004</v>
      </c>
      <c r="H112" s="16">
        <v>0.84799999999999998</v>
      </c>
      <c r="I112" s="16">
        <v>0.88800000000000001</v>
      </c>
      <c r="J112" s="16">
        <v>0.84899999999999998</v>
      </c>
      <c r="K112" s="21">
        <v>0.90400000000000003</v>
      </c>
      <c r="L112" s="16">
        <v>0.86</v>
      </c>
      <c r="M112" s="21">
        <v>0.90700000000000003</v>
      </c>
      <c r="N112" s="16">
        <v>0</v>
      </c>
      <c r="O112" s="16">
        <v>0.54710000000000003</v>
      </c>
      <c r="P112" s="18">
        <v>1.3299000000000001</v>
      </c>
      <c r="Q112" s="16">
        <v>0</v>
      </c>
      <c r="R112" s="16">
        <v>0.3876</v>
      </c>
      <c r="S112" s="16">
        <v>0.46899999999999997</v>
      </c>
      <c r="T112" s="16">
        <v>0.86399999999999999</v>
      </c>
      <c r="U112" s="16">
        <v>0.81079999999999997</v>
      </c>
      <c r="V112" s="17">
        <v>0.95660000000000001</v>
      </c>
      <c r="W112" s="18">
        <v>1.5176000000000001</v>
      </c>
      <c r="X112" s="16">
        <v>0.82499999999999996</v>
      </c>
      <c r="Y112" s="18">
        <v>1.6032999999999999</v>
      </c>
      <c r="Z112" s="18">
        <v>1.4348000000000001</v>
      </c>
      <c r="AA112" s="18">
        <v>1.2785</v>
      </c>
      <c r="AB112" s="16">
        <v>0</v>
      </c>
      <c r="AC112" s="16">
        <v>0</v>
      </c>
      <c r="AD112" s="16">
        <v>0</v>
      </c>
      <c r="AE112" s="16">
        <v>0</v>
      </c>
      <c r="AF112" s="19"/>
      <c r="AG112" s="19"/>
    </row>
    <row r="113" spans="1:33" ht="28.2" hidden="1" thickBot="1">
      <c r="A113" s="14" t="s">
        <v>43</v>
      </c>
      <c r="B113" s="13" t="s">
        <v>194</v>
      </c>
      <c r="C113" s="20">
        <v>0.28999999999999998</v>
      </c>
      <c r="D113" s="20">
        <v>0.82</v>
      </c>
      <c r="E113" s="23">
        <v>1.05</v>
      </c>
      <c r="F113" s="20">
        <v>0</v>
      </c>
      <c r="G113" s="20">
        <v>0.84</v>
      </c>
      <c r="H113" s="20">
        <v>0.85</v>
      </c>
      <c r="I113" s="20">
        <v>0.86</v>
      </c>
      <c r="J113" s="20">
        <v>0.84</v>
      </c>
      <c r="K113" s="20">
        <v>0.82</v>
      </c>
      <c r="L113" s="20">
        <v>0.86</v>
      </c>
      <c r="M113" s="20">
        <v>0.88</v>
      </c>
      <c r="N113" s="20">
        <v>0</v>
      </c>
      <c r="O113" s="16">
        <v>0.54710000000000003</v>
      </c>
      <c r="P113" s="18">
        <v>1.3299000000000001</v>
      </c>
      <c r="Q113" s="20">
        <v>0</v>
      </c>
      <c r="R113" s="16">
        <v>0.3876</v>
      </c>
      <c r="S113" s="16">
        <v>0.4677</v>
      </c>
      <c r="T113" s="16">
        <v>0.86399999999999999</v>
      </c>
      <c r="U113" s="16">
        <v>0.81079999999999997</v>
      </c>
      <c r="V113" s="17">
        <v>0.94450000000000001</v>
      </c>
      <c r="W113" s="18">
        <v>1.4609000000000001</v>
      </c>
      <c r="X113" s="16">
        <v>0.82499999999999996</v>
      </c>
      <c r="Y113" s="18">
        <v>1.6032999999999999</v>
      </c>
      <c r="Z113" s="18">
        <v>1.4348000000000001</v>
      </c>
      <c r="AA113" s="18">
        <v>1.2785</v>
      </c>
      <c r="AB113" s="20">
        <v>0</v>
      </c>
      <c r="AC113" s="20">
        <v>0</v>
      </c>
      <c r="AD113" s="20">
        <v>0</v>
      </c>
      <c r="AE113" s="20">
        <v>0</v>
      </c>
      <c r="AF113" s="19"/>
      <c r="AG113" s="19"/>
    </row>
    <row r="114" spans="1:33" ht="15" hidden="1" thickBot="1">
      <c r="A114" s="14" t="s">
        <v>43</v>
      </c>
      <c r="B114" s="13" t="s">
        <v>195</v>
      </c>
      <c r="C114" s="15">
        <v>463</v>
      </c>
      <c r="D114" s="15">
        <v>11426</v>
      </c>
      <c r="E114" s="15">
        <v>1592</v>
      </c>
      <c r="F114" s="15">
        <v>0</v>
      </c>
      <c r="G114" s="15">
        <v>14104</v>
      </c>
      <c r="H114" s="15">
        <v>1429</v>
      </c>
      <c r="I114" s="15">
        <v>1536</v>
      </c>
      <c r="J114" s="15">
        <v>5141</v>
      </c>
      <c r="K114" s="15">
        <v>4298</v>
      </c>
      <c r="L114" s="15">
        <v>3353</v>
      </c>
      <c r="M114" s="15">
        <v>11231</v>
      </c>
      <c r="N114" s="15">
        <v>0</v>
      </c>
      <c r="O114" s="15">
        <v>284</v>
      </c>
      <c r="P114" s="15">
        <v>303</v>
      </c>
      <c r="Q114" s="15">
        <v>0</v>
      </c>
      <c r="R114" s="15">
        <v>195</v>
      </c>
      <c r="S114" s="15">
        <v>352</v>
      </c>
      <c r="T114" s="15">
        <v>189</v>
      </c>
      <c r="U114" s="15">
        <v>180</v>
      </c>
      <c r="V114" s="15">
        <v>234</v>
      </c>
      <c r="W114" s="15">
        <v>206</v>
      </c>
      <c r="X114" s="15">
        <v>99</v>
      </c>
      <c r="Y114" s="15">
        <v>519</v>
      </c>
      <c r="Z114" s="15">
        <v>382</v>
      </c>
      <c r="AA114" s="15">
        <v>280</v>
      </c>
      <c r="AB114" s="15">
        <v>0</v>
      </c>
      <c r="AC114" s="15">
        <v>0</v>
      </c>
      <c r="AD114" s="15">
        <v>0</v>
      </c>
      <c r="AE114" s="15">
        <v>0</v>
      </c>
      <c r="AF114" s="19"/>
      <c r="AG114" s="19"/>
    </row>
    <row r="115" spans="1:33" ht="28.2" hidden="1" thickBot="1">
      <c r="A115" s="14" t="s">
        <v>43</v>
      </c>
      <c r="B115" s="13" t="s">
        <v>191</v>
      </c>
      <c r="C115" s="15">
        <v>1600</v>
      </c>
      <c r="D115" s="15">
        <v>13837.39</v>
      </c>
      <c r="E115" s="15">
        <v>1512</v>
      </c>
      <c r="F115" s="15">
        <v>0</v>
      </c>
      <c r="G115" s="15">
        <v>16780.59</v>
      </c>
      <c r="H115" s="15">
        <v>1723.886</v>
      </c>
      <c r="I115" s="15">
        <v>1784.7270000000001</v>
      </c>
      <c r="J115" s="15">
        <v>6138.1580000000004</v>
      </c>
      <c r="K115" s="15">
        <v>5483.018</v>
      </c>
      <c r="L115" s="15">
        <v>3900</v>
      </c>
      <c r="M115" s="15">
        <v>12808.92</v>
      </c>
      <c r="N115" s="15">
        <v>0</v>
      </c>
      <c r="O115" s="15">
        <v>519.14250000000004</v>
      </c>
      <c r="P115" s="15">
        <v>227.84010000000001</v>
      </c>
      <c r="Q115" s="15">
        <v>15108.92</v>
      </c>
      <c r="R115" s="15">
        <v>503.13189999999997</v>
      </c>
      <c r="S115" s="15">
        <v>759.10609999999997</v>
      </c>
      <c r="T115" s="15">
        <v>230.31460000000001</v>
      </c>
      <c r="U115" s="15">
        <v>230.63210000000001</v>
      </c>
      <c r="V115" s="15">
        <v>247.7424</v>
      </c>
      <c r="W115" s="15">
        <v>141.0094</v>
      </c>
      <c r="X115" s="15">
        <v>120</v>
      </c>
      <c r="Y115" s="15">
        <v>323.71170000000001</v>
      </c>
      <c r="Z115" s="15">
        <v>266.23860000000002</v>
      </c>
      <c r="AA115" s="15">
        <v>219</v>
      </c>
      <c r="AB115" s="15">
        <v>0</v>
      </c>
      <c r="AC115" s="15">
        <v>0</v>
      </c>
      <c r="AD115" s="15">
        <v>0</v>
      </c>
      <c r="AE115" s="15">
        <v>0</v>
      </c>
      <c r="AF115" s="19"/>
      <c r="AG115" s="19"/>
    </row>
    <row r="116" spans="1:33" ht="28.2" hidden="1" thickBot="1">
      <c r="A116" s="14" t="s">
        <v>43</v>
      </c>
      <c r="B116" s="13" t="s">
        <v>196</v>
      </c>
      <c r="C116" s="15">
        <v>0</v>
      </c>
      <c r="D116" s="15">
        <v>200</v>
      </c>
      <c r="E116" s="15">
        <v>0</v>
      </c>
      <c r="F116" s="15">
        <v>0</v>
      </c>
      <c r="G116" s="15">
        <v>1337</v>
      </c>
      <c r="H116" s="15">
        <v>2</v>
      </c>
      <c r="I116" s="15">
        <v>58</v>
      </c>
      <c r="J116" s="15">
        <v>84</v>
      </c>
      <c r="K116" s="15">
        <v>484</v>
      </c>
      <c r="L116" s="15">
        <v>0</v>
      </c>
      <c r="M116" s="15">
        <v>368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</v>
      </c>
      <c r="T116" s="15">
        <v>0</v>
      </c>
      <c r="U116" s="15">
        <v>0</v>
      </c>
      <c r="V116" s="15">
        <v>3</v>
      </c>
      <c r="W116" s="15">
        <v>8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9"/>
      <c r="AG116" s="19"/>
    </row>
    <row r="117" spans="1:33" ht="28.2" hidden="1" thickBot="1">
      <c r="A117" s="14" t="s">
        <v>43</v>
      </c>
      <c r="B117" s="13" t="s">
        <v>197</v>
      </c>
      <c r="C117" s="15">
        <v>0</v>
      </c>
      <c r="D117" s="15">
        <v>21</v>
      </c>
      <c r="E117" s="15">
        <v>0</v>
      </c>
      <c r="F117" s="15">
        <v>0</v>
      </c>
      <c r="G117" s="15">
        <v>88</v>
      </c>
      <c r="H117" s="15">
        <v>38</v>
      </c>
      <c r="I117" s="15">
        <v>7</v>
      </c>
      <c r="J117" s="15">
        <v>5</v>
      </c>
      <c r="K117" s="15">
        <v>188</v>
      </c>
      <c r="L117" s="15">
        <v>0</v>
      </c>
      <c r="M117" s="15">
        <v>14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3</v>
      </c>
      <c r="T117" s="15">
        <v>10</v>
      </c>
      <c r="U117" s="15">
        <v>7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9"/>
      <c r="AG117" s="19"/>
    </row>
    <row r="118" spans="1:33" ht="28.2" hidden="1" thickBot="1">
      <c r="A118" s="14" t="s">
        <v>43</v>
      </c>
      <c r="B118" s="13" t="s">
        <v>198</v>
      </c>
      <c r="C118" s="15">
        <v>0</v>
      </c>
      <c r="D118" s="15">
        <v>41</v>
      </c>
      <c r="E118" s="15">
        <v>0</v>
      </c>
      <c r="F118" s="15">
        <v>0</v>
      </c>
      <c r="G118" s="15">
        <v>86</v>
      </c>
      <c r="H118" s="15">
        <v>8</v>
      </c>
      <c r="I118" s="15">
        <v>17</v>
      </c>
      <c r="J118" s="15">
        <v>19</v>
      </c>
      <c r="K118" s="15">
        <v>16</v>
      </c>
      <c r="L118" s="15">
        <v>10</v>
      </c>
      <c r="M118" s="15">
        <v>35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9"/>
      <c r="AG118" s="19"/>
    </row>
    <row r="119" spans="1:33" ht="15" hidden="1" thickBot="1">
      <c r="A119" s="14" t="s">
        <v>200</v>
      </c>
      <c r="B119" s="13" t="s">
        <v>193</v>
      </c>
      <c r="C119" s="16">
        <v>0</v>
      </c>
      <c r="D119" s="16">
        <v>0</v>
      </c>
      <c r="E119" s="16">
        <v>0</v>
      </c>
      <c r="F119" s="16">
        <v>0</v>
      </c>
      <c r="G119" s="16">
        <v>0.76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0.75600000000000001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9"/>
      <c r="AG119" s="19"/>
    </row>
    <row r="120" spans="1:33" ht="28.2" hidden="1" thickBot="1">
      <c r="A120" s="14" t="s">
        <v>200</v>
      </c>
      <c r="B120" s="13" t="s">
        <v>194</v>
      </c>
      <c r="C120" s="20">
        <v>0</v>
      </c>
      <c r="D120" s="20">
        <v>0</v>
      </c>
      <c r="E120" s="20">
        <v>0</v>
      </c>
      <c r="F120" s="20">
        <v>0</v>
      </c>
      <c r="G120" s="20">
        <v>0.76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0.76</v>
      </c>
      <c r="N120" s="20">
        <v>0</v>
      </c>
      <c r="O120" s="16">
        <v>0</v>
      </c>
      <c r="P120" s="16">
        <v>0</v>
      </c>
      <c r="Q120" s="20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20">
        <v>0</v>
      </c>
      <c r="AC120" s="20">
        <v>0</v>
      </c>
      <c r="AD120" s="20">
        <v>0</v>
      </c>
      <c r="AE120" s="20">
        <v>0</v>
      </c>
      <c r="AF120" s="19"/>
      <c r="AG120" s="19"/>
    </row>
    <row r="121" spans="1:33" ht="15" hidden="1" thickBot="1">
      <c r="A121" s="14" t="s">
        <v>200</v>
      </c>
      <c r="B121" s="13" t="s">
        <v>195</v>
      </c>
      <c r="C121" s="15">
        <v>0</v>
      </c>
      <c r="D121" s="15">
        <v>0</v>
      </c>
      <c r="E121" s="15">
        <v>0</v>
      </c>
      <c r="F121" s="15">
        <v>0</v>
      </c>
      <c r="G121" s="15">
        <v>494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1058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9"/>
      <c r="AG121" s="19"/>
    </row>
    <row r="122" spans="1:33" ht="28.2" hidden="1" thickBot="1">
      <c r="A122" s="14" t="s">
        <v>200</v>
      </c>
      <c r="B122" s="13" t="s">
        <v>191</v>
      </c>
      <c r="C122" s="15">
        <v>0</v>
      </c>
      <c r="D122" s="15">
        <v>0</v>
      </c>
      <c r="E122" s="15">
        <v>0</v>
      </c>
      <c r="F122" s="15">
        <v>0</v>
      </c>
      <c r="G122" s="15">
        <v>650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1400</v>
      </c>
      <c r="N122" s="15">
        <v>0</v>
      </c>
      <c r="O122" s="15">
        <v>0</v>
      </c>
      <c r="P122" s="15">
        <v>0</v>
      </c>
      <c r="Q122" s="15">
        <v>1400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9"/>
      <c r="AG122" s="19"/>
    </row>
    <row r="123" spans="1:33" ht="28.2" hidden="1" thickBot="1">
      <c r="A123" s="14" t="s">
        <v>200</v>
      </c>
      <c r="B123" s="13" t="s">
        <v>196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9"/>
      <c r="AG123" s="19"/>
    </row>
    <row r="124" spans="1:33" ht="28.2" hidden="1" thickBot="1">
      <c r="A124" s="14" t="s">
        <v>200</v>
      </c>
      <c r="B124" s="13" t="s">
        <v>197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9"/>
      <c r="AG124" s="19"/>
    </row>
    <row r="125" spans="1:33" ht="28.2" hidden="1" thickBot="1">
      <c r="A125" s="14" t="s">
        <v>200</v>
      </c>
      <c r="B125" s="13" t="s">
        <v>198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9"/>
      <c r="AG125" s="19"/>
    </row>
    <row r="126" spans="1:33" ht="15" hidden="1" thickBot="1">
      <c r="A126" s="14" t="s">
        <v>48</v>
      </c>
      <c r="B126" s="13" t="s">
        <v>193</v>
      </c>
      <c r="C126" s="16">
        <v>0</v>
      </c>
      <c r="D126" s="16">
        <v>0.79</v>
      </c>
      <c r="E126" s="16">
        <v>0</v>
      </c>
      <c r="F126" s="16">
        <v>0</v>
      </c>
      <c r="G126" s="16">
        <v>0.78300000000000003</v>
      </c>
      <c r="H126" s="16">
        <v>0.57699999999999996</v>
      </c>
      <c r="I126" s="16">
        <v>0.72799999999999998</v>
      </c>
      <c r="J126" s="16">
        <v>0.81899999999999995</v>
      </c>
      <c r="K126" s="16">
        <v>0.65400000000000003</v>
      </c>
      <c r="L126" s="16">
        <v>0</v>
      </c>
      <c r="M126" s="16">
        <v>0.84599999999999997</v>
      </c>
      <c r="N126" s="16">
        <v>0</v>
      </c>
      <c r="O126" s="16">
        <v>0.625</v>
      </c>
      <c r="P126" s="16">
        <v>0.5</v>
      </c>
      <c r="Q126" s="16">
        <v>0</v>
      </c>
      <c r="R126" s="18">
        <v>1.0651999999999999</v>
      </c>
      <c r="S126" s="16">
        <v>0.23119999999999999</v>
      </c>
      <c r="T126" s="16">
        <v>0.88419999999999999</v>
      </c>
      <c r="U126" s="18">
        <v>1.5409999999999999</v>
      </c>
      <c r="V126" s="16">
        <v>0.76959999999999995</v>
      </c>
      <c r="W126" s="18">
        <v>1.8906000000000001</v>
      </c>
      <c r="X126" s="16">
        <v>0.66700000000000004</v>
      </c>
      <c r="Y126" s="18">
        <v>1.4339999999999999</v>
      </c>
      <c r="Z126" s="16">
        <v>0.70640000000000003</v>
      </c>
      <c r="AA126" s="18">
        <v>1.1446000000000001</v>
      </c>
      <c r="AB126" s="16">
        <v>0</v>
      </c>
      <c r="AC126" s="16">
        <v>0</v>
      </c>
      <c r="AD126" s="16">
        <v>0</v>
      </c>
      <c r="AE126" s="16">
        <v>0</v>
      </c>
      <c r="AF126" s="19"/>
      <c r="AG126" s="19"/>
    </row>
    <row r="127" spans="1:33" ht="28.2" hidden="1" thickBot="1">
      <c r="A127" s="14" t="s">
        <v>48</v>
      </c>
      <c r="B127" s="13" t="s">
        <v>194</v>
      </c>
      <c r="C127" s="20">
        <v>0</v>
      </c>
      <c r="D127" s="20">
        <v>0.7</v>
      </c>
      <c r="E127" s="20">
        <v>0</v>
      </c>
      <c r="F127" s="20">
        <v>0</v>
      </c>
      <c r="G127" s="20">
        <v>0.78</v>
      </c>
      <c r="H127" s="20">
        <v>0.57999999999999996</v>
      </c>
      <c r="I127" s="20">
        <v>0.72</v>
      </c>
      <c r="J127" s="20">
        <v>0.79</v>
      </c>
      <c r="K127" s="20">
        <v>0.65</v>
      </c>
      <c r="L127" s="20">
        <v>0</v>
      </c>
      <c r="M127" s="20">
        <v>0.78</v>
      </c>
      <c r="N127" s="20">
        <v>0</v>
      </c>
      <c r="O127" s="16">
        <v>0.625</v>
      </c>
      <c r="P127" s="16">
        <v>0.5</v>
      </c>
      <c r="Q127" s="20">
        <v>0</v>
      </c>
      <c r="R127" s="18">
        <v>1.0651999999999999</v>
      </c>
      <c r="S127" s="16">
        <v>0.23119999999999999</v>
      </c>
      <c r="T127" s="16">
        <v>0.88419999999999999</v>
      </c>
      <c r="U127" s="18">
        <v>1.5409999999999999</v>
      </c>
      <c r="V127" s="16">
        <v>0.76959999999999995</v>
      </c>
      <c r="W127" s="18">
        <v>1.8906000000000001</v>
      </c>
      <c r="X127" s="16">
        <v>0.58360000000000001</v>
      </c>
      <c r="Y127" s="18">
        <v>1.4339999999999999</v>
      </c>
      <c r="Z127" s="16">
        <v>0.70640000000000003</v>
      </c>
      <c r="AA127" s="18">
        <v>1.1446000000000001</v>
      </c>
      <c r="AB127" s="20">
        <v>0</v>
      </c>
      <c r="AC127" s="20">
        <v>0</v>
      </c>
      <c r="AD127" s="20">
        <v>0</v>
      </c>
      <c r="AE127" s="20">
        <v>0</v>
      </c>
      <c r="AF127" s="19"/>
      <c r="AG127" s="19"/>
    </row>
    <row r="128" spans="1:33" ht="15" hidden="1" thickBot="1">
      <c r="A128" s="14" t="s">
        <v>48</v>
      </c>
      <c r="B128" s="13" t="s">
        <v>195</v>
      </c>
      <c r="C128" s="15">
        <v>0</v>
      </c>
      <c r="D128" s="15">
        <v>767</v>
      </c>
      <c r="E128" s="15">
        <v>0</v>
      </c>
      <c r="F128" s="15">
        <v>0</v>
      </c>
      <c r="G128" s="15">
        <v>2519</v>
      </c>
      <c r="H128" s="15">
        <v>68</v>
      </c>
      <c r="I128" s="15">
        <v>73</v>
      </c>
      <c r="J128" s="15">
        <v>281</v>
      </c>
      <c r="K128" s="15">
        <v>333</v>
      </c>
      <c r="L128" s="15">
        <v>0</v>
      </c>
      <c r="M128" s="15">
        <v>1602</v>
      </c>
      <c r="N128" s="15">
        <v>0</v>
      </c>
      <c r="O128" s="15">
        <v>5</v>
      </c>
      <c r="P128" s="15">
        <v>9</v>
      </c>
      <c r="Q128" s="15">
        <v>0</v>
      </c>
      <c r="R128" s="15">
        <v>8</v>
      </c>
      <c r="S128" s="15">
        <v>20</v>
      </c>
      <c r="T128" s="15">
        <v>19</v>
      </c>
      <c r="U128" s="15">
        <v>4</v>
      </c>
      <c r="V128" s="15">
        <v>3</v>
      </c>
      <c r="W128" s="15">
        <v>10</v>
      </c>
      <c r="X128" s="15">
        <v>7</v>
      </c>
      <c r="Y128" s="15">
        <v>24</v>
      </c>
      <c r="Z128" s="15">
        <v>16</v>
      </c>
      <c r="AA128" s="15">
        <v>95</v>
      </c>
      <c r="AB128" s="15">
        <v>0</v>
      </c>
      <c r="AC128" s="15">
        <v>0</v>
      </c>
      <c r="AD128" s="15">
        <v>0</v>
      </c>
      <c r="AE128" s="15">
        <v>0</v>
      </c>
      <c r="AF128" s="19"/>
      <c r="AG128" s="19"/>
    </row>
    <row r="129" spans="1:33" ht="28.2" hidden="1" thickBot="1">
      <c r="A129" s="14" t="s">
        <v>48</v>
      </c>
      <c r="B129" s="13" t="s">
        <v>191</v>
      </c>
      <c r="C129" s="15">
        <v>0</v>
      </c>
      <c r="D129" s="15">
        <v>1156.1389999999999</v>
      </c>
      <c r="E129" s="15">
        <v>0</v>
      </c>
      <c r="F129" s="15">
        <v>0</v>
      </c>
      <c r="G129" s="15">
        <v>3216.924</v>
      </c>
      <c r="H129" s="15">
        <v>116.0993</v>
      </c>
      <c r="I129" s="15">
        <v>100.2891</v>
      </c>
      <c r="J129" s="15">
        <v>353.0351</v>
      </c>
      <c r="K129" s="15">
        <v>513.42600000000004</v>
      </c>
      <c r="L129" s="15">
        <v>0</v>
      </c>
      <c r="M129" s="15">
        <v>2047.845</v>
      </c>
      <c r="N129" s="15">
        <v>0</v>
      </c>
      <c r="O129" s="15">
        <v>8</v>
      </c>
      <c r="P129" s="15">
        <v>18</v>
      </c>
      <c r="Q129" s="15">
        <v>1897.845</v>
      </c>
      <c r="R129" s="15">
        <v>7.5106200000000003</v>
      </c>
      <c r="S129" s="15">
        <v>86.498639999999995</v>
      </c>
      <c r="T129" s="15">
        <v>21.487469999999998</v>
      </c>
      <c r="U129" s="15">
        <v>3.2445569999999999</v>
      </c>
      <c r="V129" s="15">
        <v>3.897945</v>
      </c>
      <c r="W129" s="15">
        <v>5.2893270000000001</v>
      </c>
      <c r="X129" s="15">
        <v>11.99372</v>
      </c>
      <c r="Y129" s="15">
        <v>16.73602</v>
      </c>
      <c r="Z129" s="15">
        <v>22.65109</v>
      </c>
      <c r="AA129" s="15">
        <v>83</v>
      </c>
      <c r="AB129" s="15">
        <v>0</v>
      </c>
      <c r="AC129" s="15">
        <v>0</v>
      </c>
      <c r="AD129" s="15">
        <v>0</v>
      </c>
      <c r="AE129" s="15">
        <v>0</v>
      </c>
      <c r="AF129" s="19"/>
      <c r="AG129" s="19"/>
    </row>
    <row r="130" spans="1:33" ht="28.2" hidden="1" thickBot="1">
      <c r="A130" s="14" t="s">
        <v>48</v>
      </c>
      <c r="B130" s="13" t="s">
        <v>196</v>
      </c>
      <c r="C130" s="15">
        <v>0</v>
      </c>
      <c r="D130" s="15">
        <v>95</v>
      </c>
      <c r="E130" s="15">
        <v>0</v>
      </c>
      <c r="F130" s="15">
        <v>0</v>
      </c>
      <c r="G130" s="15">
        <v>0</v>
      </c>
      <c r="H130" s="15">
        <v>0</v>
      </c>
      <c r="I130" s="15">
        <v>1</v>
      </c>
      <c r="J130" s="15">
        <v>10</v>
      </c>
      <c r="K130" s="15">
        <v>0</v>
      </c>
      <c r="L130" s="15">
        <v>0</v>
      </c>
      <c r="M130" s="15">
        <v>131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1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9"/>
      <c r="AG130" s="19"/>
    </row>
    <row r="131" spans="1:33" ht="28.2" hidden="1" thickBot="1">
      <c r="A131" s="14" t="s">
        <v>48</v>
      </c>
      <c r="B131" s="13" t="s">
        <v>197</v>
      </c>
      <c r="C131" s="15">
        <v>0</v>
      </c>
      <c r="D131" s="15">
        <v>51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6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1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9"/>
      <c r="AG131" s="19"/>
    </row>
    <row r="132" spans="1:33" ht="28.2" hidden="1" thickBot="1">
      <c r="A132" s="14" t="s">
        <v>48</v>
      </c>
      <c r="B132" s="13" t="s">
        <v>198</v>
      </c>
      <c r="C132" s="15">
        <v>0</v>
      </c>
      <c r="D132" s="15">
        <v>7</v>
      </c>
      <c r="E132" s="15">
        <v>0</v>
      </c>
      <c r="F132" s="15">
        <v>0</v>
      </c>
      <c r="G132" s="15">
        <v>21</v>
      </c>
      <c r="H132" s="15">
        <v>1</v>
      </c>
      <c r="I132" s="15">
        <v>1</v>
      </c>
      <c r="J132" s="15">
        <v>2</v>
      </c>
      <c r="K132" s="15">
        <v>3</v>
      </c>
      <c r="L132" s="15">
        <v>0</v>
      </c>
      <c r="M132" s="15">
        <v>4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9"/>
      <c r="AG132" s="19"/>
    </row>
    <row r="133" spans="1:33" ht="15" hidden="1" thickBot="1">
      <c r="A133" s="14" t="s">
        <v>50</v>
      </c>
      <c r="B133" s="13" t="s">
        <v>193</v>
      </c>
      <c r="C133" s="16">
        <v>0</v>
      </c>
      <c r="D133" s="16">
        <v>0.66700000000000004</v>
      </c>
      <c r="E133" s="16">
        <v>0</v>
      </c>
      <c r="F133" s="16">
        <v>0</v>
      </c>
      <c r="G133" s="16">
        <v>0.48899999999999999</v>
      </c>
      <c r="H133" s="16">
        <v>0.88600000000000001</v>
      </c>
      <c r="I133" s="21">
        <v>0.94299999999999995</v>
      </c>
      <c r="J133" s="16">
        <v>0.70699999999999996</v>
      </c>
      <c r="K133" s="16">
        <v>0.77100000000000002</v>
      </c>
      <c r="L133" s="16">
        <v>0.80500000000000005</v>
      </c>
      <c r="M133" s="16">
        <v>0.88500000000000001</v>
      </c>
      <c r="N133" s="16">
        <v>0.89700000000000002</v>
      </c>
      <c r="O133" s="18">
        <v>1.25</v>
      </c>
      <c r="P133" s="16">
        <v>0.5</v>
      </c>
      <c r="Q133" s="16">
        <v>0</v>
      </c>
      <c r="R133" s="16">
        <v>0.2</v>
      </c>
      <c r="S133" s="16">
        <v>0.6</v>
      </c>
      <c r="T133" s="18">
        <v>5.3216999999999999</v>
      </c>
      <c r="U133" s="18">
        <v>1.4508000000000001</v>
      </c>
      <c r="V133" s="16">
        <v>0.75</v>
      </c>
      <c r="W133" s="16">
        <v>1</v>
      </c>
      <c r="X133" s="16">
        <v>0</v>
      </c>
      <c r="Y133" s="18">
        <v>1.1871</v>
      </c>
      <c r="Z133" s="16">
        <v>0.4</v>
      </c>
      <c r="AA133" s="18">
        <v>1.2857000000000001</v>
      </c>
      <c r="AB133" s="16">
        <v>0.39500000000000002</v>
      </c>
      <c r="AC133" s="16">
        <v>0.34399999999999997</v>
      </c>
      <c r="AD133" s="16">
        <v>0.38600000000000001</v>
      </c>
      <c r="AE133" s="16">
        <v>0.33800000000000002</v>
      </c>
      <c r="AF133" s="19"/>
      <c r="AG133" s="19"/>
    </row>
    <row r="134" spans="1:33" ht="28.2" hidden="1" thickBot="1">
      <c r="A134" s="14" t="s">
        <v>50</v>
      </c>
      <c r="B134" s="13" t="s">
        <v>194</v>
      </c>
      <c r="C134" s="20">
        <v>0</v>
      </c>
      <c r="D134" s="20">
        <v>0.63</v>
      </c>
      <c r="E134" s="20">
        <v>0</v>
      </c>
      <c r="F134" s="20">
        <v>0</v>
      </c>
      <c r="G134" s="20">
        <v>0.48</v>
      </c>
      <c r="H134" s="20">
        <v>0.83</v>
      </c>
      <c r="I134" s="20">
        <v>0.88</v>
      </c>
      <c r="J134" s="20">
        <v>0.7</v>
      </c>
      <c r="K134" s="20">
        <v>0.75</v>
      </c>
      <c r="L134" s="20">
        <v>0.8</v>
      </c>
      <c r="M134" s="20">
        <v>0.88</v>
      </c>
      <c r="N134" s="20">
        <v>0.9</v>
      </c>
      <c r="O134" s="18">
        <v>1.25</v>
      </c>
      <c r="P134" s="16">
        <v>0.5</v>
      </c>
      <c r="Q134" s="20">
        <v>0</v>
      </c>
      <c r="R134" s="16">
        <v>0.2</v>
      </c>
      <c r="S134" s="16">
        <v>0.6</v>
      </c>
      <c r="T134" s="18">
        <v>5.3216999999999999</v>
      </c>
      <c r="U134" s="18">
        <v>1.4508000000000001</v>
      </c>
      <c r="V134" s="16">
        <v>0.75</v>
      </c>
      <c r="W134" s="16">
        <v>1</v>
      </c>
      <c r="X134" s="16">
        <v>0</v>
      </c>
      <c r="Y134" s="18">
        <v>1.1871</v>
      </c>
      <c r="Z134" s="16">
        <v>0.4</v>
      </c>
      <c r="AA134" s="18">
        <v>1.2857000000000001</v>
      </c>
      <c r="AB134" s="20">
        <v>0.4</v>
      </c>
      <c r="AC134" s="20">
        <v>0.34</v>
      </c>
      <c r="AD134" s="20">
        <v>0.39</v>
      </c>
      <c r="AE134" s="20">
        <v>0.34</v>
      </c>
      <c r="AF134" s="19"/>
      <c r="AG134" s="19"/>
    </row>
    <row r="135" spans="1:33" ht="15" hidden="1" thickBot="1">
      <c r="A135" s="14" t="s">
        <v>50</v>
      </c>
      <c r="B135" s="13" t="s">
        <v>195</v>
      </c>
      <c r="C135" s="15">
        <v>0</v>
      </c>
      <c r="D135" s="15">
        <v>534</v>
      </c>
      <c r="E135" s="15">
        <v>0</v>
      </c>
      <c r="F135" s="15">
        <v>0</v>
      </c>
      <c r="G135" s="15">
        <v>822</v>
      </c>
      <c r="H135" s="15">
        <v>102</v>
      </c>
      <c r="I135" s="15">
        <v>139</v>
      </c>
      <c r="J135" s="15">
        <v>258</v>
      </c>
      <c r="K135" s="15">
        <v>382</v>
      </c>
      <c r="L135" s="15">
        <v>1233</v>
      </c>
      <c r="M135" s="15">
        <v>1824</v>
      </c>
      <c r="N135" s="15">
        <v>314</v>
      </c>
      <c r="O135" s="15">
        <v>10</v>
      </c>
      <c r="P135" s="15">
        <v>5</v>
      </c>
      <c r="Q135" s="15">
        <v>0</v>
      </c>
      <c r="R135" s="15">
        <v>3</v>
      </c>
      <c r="S135" s="15">
        <v>34</v>
      </c>
      <c r="T135" s="15">
        <v>5</v>
      </c>
      <c r="U135" s="15">
        <v>1</v>
      </c>
      <c r="V135" s="15">
        <v>3</v>
      </c>
      <c r="W135" s="15">
        <v>5</v>
      </c>
      <c r="X135" s="15">
        <v>0</v>
      </c>
      <c r="Y135" s="15">
        <v>6</v>
      </c>
      <c r="Z135" s="15">
        <v>2</v>
      </c>
      <c r="AA135" s="15">
        <v>9</v>
      </c>
      <c r="AB135" s="15">
        <v>927</v>
      </c>
      <c r="AC135" s="15">
        <v>686</v>
      </c>
      <c r="AD135" s="15">
        <v>831</v>
      </c>
      <c r="AE135" s="15">
        <v>479</v>
      </c>
      <c r="AF135" s="19"/>
      <c r="AG135" s="19"/>
    </row>
    <row r="136" spans="1:33" ht="28.2" hidden="1" thickBot="1">
      <c r="A136" s="14" t="s">
        <v>50</v>
      </c>
      <c r="B136" s="13" t="s">
        <v>191</v>
      </c>
      <c r="C136" s="15">
        <v>0</v>
      </c>
      <c r="D136" s="15">
        <v>865.51210000000003</v>
      </c>
      <c r="E136" s="15">
        <v>0</v>
      </c>
      <c r="F136" s="15">
        <v>0</v>
      </c>
      <c r="G136" s="15">
        <v>1687.481</v>
      </c>
      <c r="H136" s="15">
        <v>123</v>
      </c>
      <c r="I136" s="15">
        <v>157</v>
      </c>
      <c r="J136" s="15">
        <v>369</v>
      </c>
      <c r="K136" s="15">
        <v>516</v>
      </c>
      <c r="L136" s="15">
        <v>1550</v>
      </c>
      <c r="M136" s="15">
        <v>2063</v>
      </c>
      <c r="N136" s="15">
        <v>350</v>
      </c>
      <c r="O136" s="15">
        <v>8</v>
      </c>
      <c r="P136" s="15">
        <v>10</v>
      </c>
      <c r="Q136" s="15">
        <v>3313</v>
      </c>
      <c r="R136" s="15">
        <v>15</v>
      </c>
      <c r="S136" s="15">
        <v>60</v>
      </c>
      <c r="T136" s="15">
        <v>0.93954099999999996</v>
      </c>
      <c r="U136" s="15">
        <v>0.68927499999999997</v>
      </c>
      <c r="V136" s="15">
        <v>4</v>
      </c>
      <c r="W136" s="15">
        <v>5</v>
      </c>
      <c r="X136" s="15">
        <v>0.62860400000000005</v>
      </c>
      <c r="Y136" s="15">
        <v>5.0541999999999998</v>
      </c>
      <c r="Z136" s="15">
        <v>5</v>
      </c>
      <c r="AA136" s="15">
        <v>7</v>
      </c>
      <c r="AB136" s="15">
        <v>2346</v>
      </c>
      <c r="AC136" s="15">
        <v>2153</v>
      </c>
      <c r="AD136" s="15">
        <v>2153</v>
      </c>
      <c r="AE136" s="15">
        <v>1419</v>
      </c>
      <c r="AF136" s="19"/>
      <c r="AG136" s="19"/>
    </row>
    <row r="137" spans="1:33" ht="28.2" hidden="1" thickBot="1">
      <c r="A137" s="14" t="s">
        <v>50</v>
      </c>
      <c r="B137" s="13" t="s">
        <v>196</v>
      </c>
      <c r="C137" s="15">
        <v>0</v>
      </c>
      <c r="D137" s="15">
        <v>28</v>
      </c>
      <c r="E137" s="15">
        <v>0</v>
      </c>
      <c r="F137" s="15">
        <v>0</v>
      </c>
      <c r="G137" s="15">
        <v>3</v>
      </c>
      <c r="H137" s="15">
        <v>7</v>
      </c>
      <c r="I137" s="15">
        <v>10</v>
      </c>
      <c r="J137" s="15">
        <v>4</v>
      </c>
      <c r="K137" s="15">
        <v>12</v>
      </c>
      <c r="L137" s="15">
        <v>0</v>
      </c>
      <c r="M137" s="15">
        <v>1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10</v>
      </c>
      <c r="AD137" s="15">
        <v>0</v>
      </c>
      <c r="AE137" s="15">
        <v>0</v>
      </c>
      <c r="AF137" s="19"/>
      <c r="AG137" s="19"/>
    </row>
    <row r="138" spans="1:33" ht="28.2" hidden="1" thickBot="1">
      <c r="A138" s="14" t="s">
        <v>50</v>
      </c>
      <c r="B138" s="13" t="s">
        <v>197</v>
      </c>
      <c r="C138" s="15">
        <v>0</v>
      </c>
      <c r="D138" s="15">
        <v>15</v>
      </c>
      <c r="E138" s="15">
        <v>0</v>
      </c>
      <c r="F138" s="15">
        <v>0</v>
      </c>
      <c r="G138" s="15">
        <v>1</v>
      </c>
      <c r="H138" s="15">
        <v>1</v>
      </c>
      <c r="I138" s="15">
        <v>1</v>
      </c>
      <c r="J138" s="15">
        <v>0</v>
      </c>
      <c r="K138" s="15">
        <v>5</v>
      </c>
      <c r="L138" s="15">
        <v>14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2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44</v>
      </c>
      <c r="AD138" s="15">
        <v>0</v>
      </c>
      <c r="AE138" s="15">
        <v>0</v>
      </c>
      <c r="AF138" s="19"/>
      <c r="AG138" s="19"/>
    </row>
    <row r="139" spans="1:33" ht="28.2" hidden="1" thickBot="1">
      <c r="A139" s="14" t="s">
        <v>50</v>
      </c>
      <c r="B139" s="13" t="s">
        <v>198</v>
      </c>
      <c r="C139" s="15">
        <v>0</v>
      </c>
      <c r="D139" s="15">
        <v>1</v>
      </c>
      <c r="E139" s="15">
        <v>0</v>
      </c>
      <c r="F139" s="15">
        <v>0</v>
      </c>
      <c r="G139" s="15">
        <v>6</v>
      </c>
      <c r="H139" s="15">
        <v>1</v>
      </c>
      <c r="I139" s="15">
        <v>2</v>
      </c>
      <c r="J139" s="15">
        <v>1</v>
      </c>
      <c r="K139" s="15">
        <v>1</v>
      </c>
      <c r="L139" s="15">
        <v>0</v>
      </c>
      <c r="M139" s="15">
        <v>3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9"/>
      <c r="AG139" s="19"/>
    </row>
    <row r="140" spans="1:33" ht="15" hidden="1" thickBot="1">
      <c r="A140" s="14" t="s">
        <v>201</v>
      </c>
      <c r="B140" s="13" t="s">
        <v>193</v>
      </c>
      <c r="C140" s="16">
        <v>0</v>
      </c>
      <c r="D140" s="18">
        <v>5.3390000000000004</v>
      </c>
      <c r="E140" s="16">
        <v>0</v>
      </c>
      <c r="F140" s="16">
        <v>0</v>
      </c>
      <c r="G140" s="18">
        <v>1.988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8">
        <v>2.8029999999999999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9"/>
      <c r="AG140" s="19"/>
    </row>
    <row r="141" spans="1:33" ht="28.2" hidden="1" thickBot="1">
      <c r="A141" s="14" t="s">
        <v>201</v>
      </c>
      <c r="B141" s="13" t="s">
        <v>194</v>
      </c>
      <c r="C141" s="20">
        <v>0</v>
      </c>
      <c r="D141" s="23">
        <v>4.9000000000000004</v>
      </c>
      <c r="E141" s="20">
        <v>0</v>
      </c>
      <c r="F141" s="20">
        <v>0</v>
      </c>
      <c r="G141" s="23">
        <v>1.99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3">
        <v>2.4700000000000002</v>
      </c>
      <c r="N141" s="20">
        <v>0</v>
      </c>
      <c r="O141" s="16">
        <v>0</v>
      </c>
      <c r="P141" s="16">
        <v>0</v>
      </c>
      <c r="Q141" s="20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20">
        <v>0</v>
      </c>
      <c r="AC141" s="20">
        <v>0</v>
      </c>
      <c r="AD141" s="20">
        <v>0</v>
      </c>
      <c r="AE141" s="20">
        <v>0</v>
      </c>
      <c r="AF141" s="19"/>
      <c r="AG141" s="19"/>
    </row>
    <row r="142" spans="1:33" ht="15" hidden="1" thickBot="1">
      <c r="A142" s="14" t="s">
        <v>201</v>
      </c>
      <c r="B142" s="13" t="s">
        <v>202</v>
      </c>
      <c r="C142" s="15">
        <v>0</v>
      </c>
      <c r="D142" s="15">
        <v>13340</v>
      </c>
      <c r="E142" s="15">
        <v>0</v>
      </c>
      <c r="F142" s="15">
        <v>0</v>
      </c>
      <c r="G142" s="15">
        <v>159</v>
      </c>
      <c r="H142" s="15">
        <v>2558</v>
      </c>
      <c r="I142" s="15">
        <v>2520</v>
      </c>
      <c r="J142" s="15">
        <v>7018</v>
      </c>
      <c r="K142" s="15">
        <v>6541</v>
      </c>
      <c r="L142" s="15">
        <v>2592</v>
      </c>
      <c r="M142" s="15">
        <v>5728</v>
      </c>
      <c r="N142" s="15">
        <v>0</v>
      </c>
      <c r="O142" s="15">
        <v>24</v>
      </c>
      <c r="P142" s="15">
        <v>20</v>
      </c>
      <c r="Q142" s="15">
        <v>0</v>
      </c>
      <c r="R142" s="15">
        <v>175</v>
      </c>
      <c r="S142" s="15">
        <v>37</v>
      </c>
      <c r="T142" s="15">
        <v>42</v>
      </c>
      <c r="U142" s="15">
        <v>4</v>
      </c>
      <c r="V142" s="15">
        <v>0</v>
      </c>
      <c r="W142" s="15">
        <v>0</v>
      </c>
      <c r="X142" s="15">
        <v>23</v>
      </c>
      <c r="Y142" s="15">
        <v>49</v>
      </c>
      <c r="Z142" s="15">
        <v>74</v>
      </c>
      <c r="AA142" s="15">
        <v>176</v>
      </c>
      <c r="AB142" s="15">
        <v>0</v>
      </c>
      <c r="AC142" s="15">
        <v>0</v>
      </c>
      <c r="AD142" s="15">
        <v>0</v>
      </c>
      <c r="AE142" s="15">
        <v>0</v>
      </c>
      <c r="AF142" s="19"/>
      <c r="AG142" s="19"/>
    </row>
    <row r="143" spans="1:33" ht="28.2" hidden="1" thickBot="1">
      <c r="A143" s="14" t="s">
        <v>201</v>
      </c>
      <c r="B143" s="13" t="s">
        <v>203</v>
      </c>
      <c r="C143" s="15">
        <v>0</v>
      </c>
      <c r="D143" s="15">
        <v>2500</v>
      </c>
      <c r="E143" s="15">
        <v>0</v>
      </c>
      <c r="F143" s="15">
        <v>0</v>
      </c>
      <c r="G143" s="15">
        <v>80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2500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9"/>
      <c r="AG143" s="19"/>
    </row>
    <row r="144" spans="1:33" ht="28.2" hidden="1" thickBot="1">
      <c r="A144" s="14" t="s">
        <v>201</v>
      </c>
      <c r="B144" s="13" t="s">
        <v>204</v>
      </c>
      <c r="C144" s="15">
        <v>0</v>
      </c>
      <c r="D144" s="15">
        <v>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1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9"/>
      <c r="AG144" s="19"/>
    </row>
    <row r="145" spans="1:33" ht="28.2" hidden="1" thickBot="1">
      <c r="A145" s="14" t="s">
        <v>201</v>
      </c>
      <c r="B145" s="13" t="s">
        <v>205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7</v>
      </c>
      <c r="I145" s="15">
        <v>0</v>
      </c>
      <c r="J145" s="15">
        <v>0</v>
      </c>
      <c r="K145" s="15">
        <v>2</v>
      </c>
      <c r="L145" s="15">
        <v>0</v>
      </c>
      <c r="M145" s="15">
        <v>1280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1</v>
      </c>
      <c r="T145" s="15">
        <v>6</v>
      </c>
      <c r="U145" s="15">
        <v>21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9"/>
      <c r="AG145" s="19"/>
    </row>
    <row r="146" spans="1:33" ht="28.2" hidden="1" thickBot="1">
      <c r="A146" s="14" t="s">
        <v>201</v>
      </c>
      <c r="B146" s="13" t="s">
        <v>206</v>
      </c>
      <c r="C146" s="15">
        <v>0</v>
      </c>
      <c r="D146" s="15">
        <v>1082</v>
      </c>
      <c r="E146" s="15">
        <v>0</v>
      </c>
      <c r="F146" s="15">
        <v>0</v>
      </c>
      <c r="G146" s="15">
        <v>1407</v>
      </c>
      <c r="H146" s="15">
        <v>241</v>
      </c>
      <c r="I146" s="15">
        <v>235</v>
      </c>
      <c r="J146" s="15">
        <v>725</v>
      </c>
      <c r="K146" s="15">
        <v>460</v>
      </c>
      <c r="L146" s="15">
        <v>26</v>
      </c>
      <c r="M146" s="15">
        <v>828</v>
      </c>
      <c r="N146" s="15">
        <v>0</v>
      </c>
      <c r="O146" s="15">
        <v>2</v>
      </c>
      <c r="P146" s="15">
        <v>0</v>
      </c>
      <c r="Q146" s="15">
        <v>0</v>
      </c>
      <c r="R146" s="15">
        <v>0</v>
      </c>
      <c r="S146" s="15">
        <v>7</v>
      </c>
      <c r="T146" s="15">
        <v>4</v>
      </c>
      <c r="U146" s="15">
        <v>1</v>
      </c>
      <c r="V146" s="15">
        <v>0</v>
      </c>
      <c r="W146" s="15">
        <v>0</v>
      </c>
      <c r="X146" s="15">
        <v>2</v>
      </c>
      <c r="Y146" s="15">
        <v>1</v>
      </c>
      <c r="Z146" s="15">
        <v>0</v>
      </c>
      <c r="AA146" s="15">
        <v>2</v>
      </c>
      <c r="AB146" s="15">
        <v>0</v>
      </c>
      <c r="AC146" s="15">
        <v>0</v>
      </c>
      <c r="AD146" s="15">
        <v>0</v>
      </c>
      <c r="AE146" s="15">
        <v>0</v>
      </c>
      <c r="AF146" s="19"/>
      <c r="AG146" s="19"/>
    </row>
    <row r="147" spans="1:33" ht="15" hidden="1" thickBot="1">
      <c r="A147" s="14" t="s">
        <v>207</v>
      </c>
      <c r="B147" s="13" t="s">
        <v>195</v>
      </c>
      <c r="C147" s="19"/>
      <c r="D147" s="15">
        <v>17396</v>
      </c>
      <c r="E147" s="19"/>
      <c r="F147" s="19"/>
      <c r="G147" s="15">
        <v>6240</v>
      </c>
      <c r="H147" s="19"/>
      <c r="I147" s="19"/>
      <c r="J147" s="19"/>
      <c r="K147" s="19"/>
      <c r="L147" s="19"/>
      <c r="M147" s="15">
        <v>3000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spans="1:33" ht="28.2" hidden="1" thickBot="1">
      <c r="A148" s="14" t="s">
        <v>207</v>
      </c>
      <c r="B148" s="13" t="s">
        <v>191</v>
      </c>
      <c r="C148" s="19"/>
      <c r="D148" s="15">
        <v>17396</v>
      </c>
      <c r="E148" s="19"/>
      <c r="F148" s="19"/>
      <c r="G148" s="15">
        <v>6240</v>
      </c>
      <c r="H148" s="19"/>
      <c r="I148" s="19"/>
      <c r="J148" s="19"/>
      <c r="K148" s="19"/>
      <c r="L148" s="19"/>
      <c r="M148" s="15">
        <v>3000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</sheetData>
  <autoFilter ref="A58:AG148" xr:uid="{F1D79B4D-ABD8-49B5-B154-C0F16DA1864F}">
    <filterColumn colId="0">
      <filters blank="1">
        <filter val="1 Actual Total"/>
        <filter val="AfterMOBB"/>
        <filter val="Category"/>
      </filters>
    </filterColumn>
  </autoFilter>
  <mergeCells count="44">
    <mergeCell ref="AA58:AA59"/>
    <mergeCell ref="AB58:AB59"/>
    <mergeCell ref="AC58:AC59"/>
    <mergeCell ref="AD58:AD59"/>
    <mergeCell ref="U58:U59"/>
    <mergeCell ref="V58:V59"/>
    <mergeCell ref="W58:W59"/>
    <mergeCell ref="X58:X59"/>
    <mergeCell ref="Y58:Y59"/>
    <mergeCell ref="Z58:Z59"/>
    <mergeCell ref="T58:T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N47:N48"/>
    <mergeCell ref="O47:O48"/>
    <mergeCell ref="A58:A59"/>
    <mergeCell ref="B58:B59"/>
    <mergeCell ref="C58:C59"/>
    <mergeCell ref="D58:D59"/>
    <mergeCell ref="E58:E59"/>
    <mergeCell ref="F58:F59"/>
    <mergeCell ref="G58:G59"/>
    <mergeCell ref="H58:H59"/>
    <mergeCell ref="H47:H48"/>
    <mergeCell ref="I47:I48"/>
    <mergeCell ref="J47:J48"/>
    <mergeCell ref="K47:K48"/>
    <mergeCell ref="L47:L48"/>
    <mergeCell ref="M47:M48"/>
    <mergeCell ref="G47:G48"/>
    <mergeCell ref="B47:B48"/>
    <mergeCell ref="C47:C48"/>
    <mergeCell ref="D47:D48"/>
    <mergeCell ref="E47:E48"/>
    <mergeCell ref="F47:F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643"/>
  <sheetViews>
    <sheetView workbookViewId="0">
      <selection activeCell="P444" sqref="P444"/>
    </sheetView>
  </sheetViews>
  <sheetFormatPr defaultRowHeight="14.4"/>
  <cols>
    <col min="3" max="3" width="10.33203125" bestFit="1" customWidth="1"/>
  </cols>
  <sheetData>
    <row r="1" spans="1:6">
      <c r="A1" s="1" t="s">
        <v>15</v>
      </c>
      <c r="B1" s="1" t="s">
        <v>41</v>
      </c>
      <c r="C1" s="1" t="s">
        <v>39</v>
      </c>
      <c r="D1" s="1" t="s">
        <v>42</v>
      </c>
      <c r="E1" s="1" t="s">
        <v>40</v>
      </c>
      <c r="F1" s="4" t="s">
        <v>94</v>
      </c>
    </row>
    <row r="2" spans="1:6" hidden="1">
      <c r="A2" t="s">
        <v>19</v>
      </c>
      <c r="B2" t="s">
        <v>20</v>
      </c>
      <c r="C2" s="2">
        <v>46203</v>
      </c>
      <c r="D2" t="s">
        <v>43</v>
      </c>
      <c r="E2">
        <v>327285.65000000002</v>
      </c>
      <c r="F2" s="3">
        <f>E2/1000</f>
        <v>327.28565000000003</v>
      </c>
    </row>
    <row r="3" spans="1:6" hidden="1">
      <c r="A3" t="s">
        <v>19</v>
      </c>
      <c r="B3" t="s">
        <v>20</v>
      </c>
      <c r="C3" s="2">
        <v>46203</v>
      </c>
      <c r="D3" t="s">
        <v>44</v>
      </c>
      <c r="E3">
        <v>220314.02</v>
      </c>
      <c r="F3" s="3">
        <f t="shared" ref="F3:F66" si="0">E3/1000</f>
        <v>220.31402</v>
      </c>
    </row>
    <row r="4" spans="1:6" hidden="1">
      <c r="A4" t="s">
        <v>19</v>
      </c>
      <c r="B4" t="s">
        <v>20</v>
      </c>
      <c r="C4" s="2">
        <v>46203</v>
      </c>
      <c r="D4" t="s">
        <v>45</v>
      </c>
      <c r="E4">
        <v>192955.94</v>
      </c>
      <c r="F4" s="3">
        <f t="shared" si="0"/>
        <v>192.95594</v>
      </c>
    </row>
    <row r="5" spans="1:6" hidden="1">
      <c r="A5" t="s">
        <v>19</v>
      </c>
      <c r="B5" t="s">
        <v>20</v>
      </c>
      <c r="C5" s="2">
        <v>46202</v>
      </c>
      <c r="D5" t="s">
        <v>46</v>
      </c>
      <c r="E5">
        <v>160471.88</v>
      </c>
      <c r="F5" s="3">
        <f t="shared" si="0"/>
        <v>160.47188</v>
      </c>
    </row>
    <row r="6" spans="1:6" hidden="1">
      <c r="A6" t="s">
        <v>19</v>
      </c>
      <c r="B6" t="s">
        <v>20</v>
      </c>
      <c r="C6" s="2">
        <v>46202</v>
      </c>
      <c r="D6" t="s">
        <v>47</v>
      </c>
      <c r="E6">
        <v>59907.81</v>
      </c>
      <c r="F6" s="3">
        <f t="shared" si="0"/>
        <v>59.907809999999998</v>
      </c>
    </row>
    <row r="7" spans="1:6" hidden="1">
      <c r="A7" t="s">
        <v>19</v>
      </c>
      <c r="B7" t="s">
        <v>20</v>
      </c>
      <c r="C7" s="2">
        <v>46203</v>
      </c>
      <c r="D7" t="s">
        <v>48</v>
      </c>
      <c r="E7">
        <v>30089.23</v>
      </c>
      <c r="F7" s="3">
        <f t="shared" si="0"/>
        <v>30.089230000000001</v>
      </c>
    </row>
    <row r="8" spans="1:6" hidden="1">
      <c r="A8" t="s">
        <v>19</v>
      </c>
      <c r="B8" t="s">
        <v>20</v>
      </c>
      <c r="C8" s="2">
        <v>46202</v>
      </c>
      <c r="D8" t="s">
        <v>49</v>
      </c>
      <c r="E8">
        <v>20905.07</v>
      </c>
      <c r="F8" s="3">
        <f t="shared" si="0"/>
        <v>20.905069999999998</v>
      </c>
    </row>
    <row r="9" spans="1:6" hidden="1">
      <c r="A9" t="s">
        <v>19</v>
      </c>
      <c r="B9" t="s">
        <v>20</v>
      </c>
      <c r="C9" s="2">
        <v>46203</v>
      </c>
      <c r="D9" t="s">
        <v>50</v>
      </c>
      <c r="E9">
        <v>2667.14</v>
      </c>
      <c r="F9" s="3">
        <f t="shared" si="0"/>
        <v>2.6671399999999998</v>
      </c>
    </row>
    <row r="10" spans="1:6" hidden="1">
      <c r="A10" t="s">
        <v>19</v>
      </c>
      <c r="B10" t="s">
        <v>21</v>
      </c>
      <c r="C10" s="2">
        <v>46203</v>
      </c>
      <c r="D10" t="s">
        <v>43</v>
      </c>
      <c r="E10">
        <v>612139.46</v>
      </c>
      <c r="F10" s="3">
        <f t="shared" si="0"/>
        <v>612.13945999999999</v>
      </c>
    </row>
    <row r="11" spans="1:6" hidden="1">
      <c r="A11" t="s">
        <v>19</v>
      </c>
      <c r="B11" t="s">
        <v>21</v>
      </c>
      <c r="C11" s="2">
        <v>46202</v>
      </c>
      <c r="D11" t="s">
        <v>46</v>
      </c>
      <c r="E11">
        <v>440146.7</v>
      </c>
      <c r="F11" s="3">
        <f t="shared" si="0"/>
        <v>440.14670000000001</v>
      </c>
    </row>
    <row r="12" spans="1:6" hidden="1">
      <c r="A12" t="s">
        <v>19</v>
      </c>
      <c r="B12" t="s">
        <v>21</v>
      </c>
      <c r="C12" s="2">
        <v>46203</v>
      </c>
      <c r="D12" t="s">
        <v>45</v>
      </c>
      <c r="E12">
        <v>282125.26</v>
      </c>
      <c r="F12" s="3">
        <f t="shared" si="0"/>
        <v>282.12526000000003</v>
      </c>
    </row>
    <row r="13" spans="1:6" hidden="1">
      <c r="A13" t="s">
        <v>19</v>
      </c>
      <c r="B13" t="s">
        <v>21</v>
      </c>
      <c r="C13" s="2">
        <v>46202</v>
      </c>
      <c r="D13" t="s">
        <v>47</v>
      </c>
      <c r="E13">
        <v>114579</v>
      </c>
      <c r="F13" s="3">
        <f t="shared" si="0"/>
        <v>114.57899999999999</v>
      </c>
    </row>
    <row r="14" spans="1:6" hidden="1">
      <c r="A14" t="s">
        <v>19</v>
      </c>
      <c r="B14" t="s">
        <v>21</v>
      </c>
      <c r="C14" s="2">
        <v>46203</v>
      </c>
      <c r="D14" t="s">
        <v>48</v>
      </c>
      <c r="E14">
        <v>81718.03</v>
      </c>
      <c r="F14" s="3">
        <f t="shared" si="0"/>
        <v>81.718029999999999</v>
      </c>
    </row>
    <row r="15" spans="1:6" hidden="1">
      <c r="A15" t="s">
        <v>19</v>
      </c>
      <c r="B15" t="s">
        <v>21</v>
      </c>
      <c r="C15" s="2">
        <v>46202</v>
      </c>
      <c r="D15" t="s">
        <v>49</v>
      </c>
      <c r="E15">
        <v>42889.93</v>
      </c>
      <c r="F15" s="3">
        <f t="shared" si="0"/>
        <v>42.88993</v>
      </c>
    </row>
    <row r="16" spans="1:6" hidden="1">
      <c r="A16" t="s">
        <v>19</v>
      </c>
      <c r="B16" t="s">
        <v>21</v>
      </c>
      <c r="C16" s="2">
        <v>46203</v>
      </c>
      <c r="D16" t="s">
        <v>50</v>
      </c>
      <c r="E16">
        <v>38426.9</v>
      </c>
      <c r="F16" s="3">
        <f t="shared" si="0"/>
        <v>38.426900000000003</v>
      </c>
    </row>
    <row r="17" spans="1:6" hidden="1">
      <c r="A17" t="s">
        <v>19</v>
      </c>
      <c r="B17" t="s">
        <v>21</v>
      </c>
      <c r="C17" s="2">
        <v>46202</v>
      </c>
      <c r="D17" t="s">
        <v>44</v>
      </c>
      <c r="E17">
        <v>33734.49</v>
      </c>
      <c r="F17" s="3">
        <f t="shared" si="0"/>
        <v>33.734490000000001</v>
      </c>
    </row>
    <row r="18" spans="1:6" hidden="1">
      <c r="A18" t="s">
        <v>19</v>
      </c>
      <c r="B18" t="s">
        <v>21</v>
      </c>
      <c r="C18" s="2">
        <v>46202</v>
      </c>
      <c r="D18" t="s">
        <v>51</v>
      </c>
      <c r="E18">
        <v>0</v>
      </c>
      <c r="F18" s="3">
        <f t="shared" si="0"/>
        <v>0</v>
      </c>
    </row>
    <row r="19" spans="1:6" hidden="1">
      <c r="A19" t="s">
        <v>19</v>
      </c>
      <c r="B19" t="s">
        <v>22</v>
      </c>
      <c r="C19" s="2">
        <v>46202</v>
      </c>
      <c r="D19" t="s">
        <v>44</v>
      </c>
      <c r="E19">
        <v>626886.66</v>
      </c>
      <c r="F19" s="3">
        <f t="shared" si="0"/>
        <v>626.88666000000001</v>
      </c>
    </row>
    <row r="20" spans="1:6" hidden="1">
      <c r="A20" t="s">
        <v>19</v>
      </c>
      <c r="B20" t="s">
        <v>22</v>
      </c>
      <c r="C20" s="2">
        <v>46202</v>
      </c>
      <c r="D20" t="s">
        <v>46</v>
      </c>
      <c r="E20">
        <v>546640.28</v>
      </c>
      <c r="F20" s="3">
        <f t="shared" si="0"/>
        <v>546.64028000000008</v>
      </c>
    </row>
    <row r="21" spans="1:6" hidden="1">
      <c r="A21" t="s">
        <v>19</v>
      </c>
      <c r="B21" t="s">
        <v>22</v>
      </c>
      <c r="C21" s="2">
        <v>46203</v>
      </c>
      <c r="D21" t="s">
        <v>43</v>
      </c>
      <c r="E21">
        <v>538635.49</v>
      </c>
      <c r="F21" s="3">
        <f t="shared" si="0"/>
        <v>538.63549</v>
      </c>
    </row>
    <row r="22" spans="1:6" hidden="1">
      <c r="A22" t="s">
        <v>19</v>
      </c>
      <c r="B22" t="s">
        <v>22</v>
      </c>
      <c r="C22" s="2">
        <v>46203</v>
      </c>
      <c r="D22" t="s">
        <v>45</v>
      </c>
      <c r="E22">
        <v>400728.68</v>
      </c>
      <c r="F22" s="3">
        <f t="shared" si="0"/>
        <v>400.72868</v>
      </c>
    </row>
    <row r="23" spans="1:6" hidden="1">
      <c r="A23" t="s">
        <v>19</v>
      </c>
      <c r="B23" t="s">
        <v>22</v>
      </c>
      <c r="C23" s="2">
        <v>46202</v>
      </c>
      <c r="D23" t="s">
        <v>47</v>
      </c>
      <c r="E23">
        <v>139092.06</v>
      </c>
      <c r="F23" s="3">
        <f t="shared" si="0"/>
        <v>139.09206</v>
      </c>
    </row>
    <row r="24" spans="1:6" hidden="1">
      <c r="A24" t="s">
        <v>19</v>
      </c>
      <c r="B24" t="s">
        <v>22</v>
      </c>
      <c r="C24" s="2">
        <v>46202</v>
      </c>
      <c r="D24" t="s">
        <v>49</v>
      </c>
      <c r="E24">
        <v>33427.25</v>
      </c>
      <c r="F24" s="3">
        <f t="shared" si="0"/>
        <v>33.427250000000001</v>
      </c>
    </row>
    <row r="25" spans="1:6" hidden="1">
      <c r="A25" t="s">
        <v>19</v>
      </c>
      <c r="B25" t="s">
        <v>22</v>
      </c>
      <c r="C25" s="2">
        <v>46202</v>
      </c>
      <c r="D25" t="s">
        <v>48</v>
      </c>
      <c r="E25">
        <v>3347.16</v>
      </c>
      <c r="F25" s="3">
        <f t="shared" si="0"/>
        <v>3.3471599999999997</v>
      </c>
    </row>
    <row r="26" spans="1:6" hidden="1">
      <c r="A26" t="s">
        <v>19</v>
      </c>
      <c r="B26" t="s">
        <v>22</v>
      </c>
      <c r="C26" s="2">
        <v>46202</v>
      </c>
      <c r="D26" t="s">
        <v>50</v>
      </c>
      <c r="E26">
        <v>566.14</v>
      </c>
      <c r="F26" s="3">
        <f t="shared" si="0"/>
        <v>0.56613999999999998</v>
      </c>
    </row>
    <row r="27" spans="1:6" hidden="1">
      <c r="A27" t="s">
        <v>19</v>
      </c>
      <c r="B27" t="s">
        <v>22</v>
      </c>
      <c r="C27" s="2">
        <v>46202</v>
      </c>
      <c r="D27" t="s">
        <v>51</v>
      </c>
      <c r="E27">
        <v>0</v>
      </c>
      <c r="F27" s="3">
        <f t="shared" si="0"/>
        <v>0</v>
      </c>
    </row>
    <row r="28" spans="1:6" hidden="1">
      <c r="A28" t="s">
        <v>19</v>
      </c>
      <c r="B28" t="s">
        <v>23</v>
      </c>
      <c r="C28" s="2">
        <v>46203</v>
      </c>
      <c r="D28" t="s">
        <v>45</v>
      </c>
      <c r="E28">
        <v>139609.82</v>
      </c>
      <c r="F28" s="3">
        <f t="shared" si="0"/>
        <v>139.60982000000001</v>
      </c>
    </row>
    <row r="29" spans="1:6" hidden="1">
      <c r="A29" t="s">
        <v>19</v>
      </c>
      <c r="B29" t="s">
        <v>23</v>
      </c>
      <c r="C29" s="2">
        <v>46202</v>
      </c>
      <c r="D29" t="s">
        <v>43</v>
      </c>
      <c r="E29">
        <v>101403.82</v>
      </c>
      <c r="F29" s="3">
        <f t="shared" si="0"/>
        <v>101.40382000000001</v>
      </c>
    </row>
    <row r="30" spans="1:6" hidden="1">
      <c r="A30" t="s">
        <v>19</v>
      </c>
      <c r="B30" t="s">
        <v>23</v>
      </c>
      <c r="C30" s="2">
        <v>46202</v>
      </c>
      <c r="D30" t="s">
        <v>44</v>
      </c>
      <c r="E30">
        <v>89843.42</v>
      </c>
      <c r="F30" s="3">
        <f t="shared" si="0"/>
        <v>89.843419999999995</v>
      </c>
    </row>
    <row r="31" spans="1:6" hidden="1">
      <c r="A31" t="s">
        <v>19</v>
      </c>
      <c r="B31" t="s">
        <v>23</v>
      </c>
      <c r="C31" s="2">
        <v>46202</v>
      </c>
      <c r="D31" t="s">
        <v>47</v>
      </c>
      <c r="E31">
        <v>21438.38</v>
      </c>
      <c r="F31" s="3">
        <f t="shared" si="0"/>
        <v>21.438380000000002</v>
      </c>
    </row>
    <row r="32" spans="1:6" hidden="1">
      <c r="A32" t="s">
        <v>19</v>
      </c>
      <c r="B32" t="s">
        <v>23</v>
      </c>
      <c r="C32" s="2">
        <v>46202</v>
      </c>
      <c r="D32" t="s">
        <v>46</v>
      </c>
      <c r="E32">
        <v>19384.59</v>
      </c>
      <c r="F32" s="3">
        <f t="shared" si="0"/>
        <v>19.384589999999999</v>
      </c>
    </row>
    <row r="33" spans="1:6" hidden="1">
      <c r="A33" t="s">
        <v>19</v>
      </c>
      <c r="B33" t="s">
        <v>23</v>
      </c>
      <c r="C33" s="2">
        <v>46202</v>
      </c>
      <c r="D33" t="s">
        <v>49</v>
      </c>
      <c r="E33">
        <v>13229.7</v>
      </c>
      <c r="F33" s="3">
        <f t="shared" si="0"/>
        <v>13.229700000000001</v>
      </c>
    </row>
    <row r="34" spans="1:6" hidden="1">
      <c r="A34" t="s">
        <v>19</v>
      </c>
      <c r="B34" t="s">
        <v>23</v>
      </c>
      <c r="C34" s="2">
        <v>46202</v>
      </c>
      <c r="D34" t="s">
        <v>48</v>
      </c>
      <c r="E34">
        <v>11148.12</v>
      </c>
      <c r="F34" s="3">
        <f t="shared" si="0"/>
        <v>11.14812</v>
      </c>
    </row>
    <row r="35" spans="1:6" hidden="1">
      <c r="A35" t="s">
        <v>19</v>
      </c>
      <c r="B35" t="s">
        <v>23</v>
      </c>
      <c r="C35" s="2">
        <v>46202</v>
      </c>
      <c r="D35" t="s">
        <v>50</v>
      </c>
      <c r="E35">
        <v>120.45</v>
      </c>
      <c r="F35" s="3">
        <f t="shared" si="0"/>
        <v>0.12045</v>
      </c>
    </row>
    <row r="36" spans="1:6" hidden="1">
      <c r="A36" t="s">
        <v>19</v>
      </c>
      <c r="B36" t="s">
        <v>23</v>
      </c>
      <c r="C36" s="2">
        <v>46202</v>
      </c>
      <c r="D36" t="s">
        <v>51</v>
      </c>
      <c r="E36">
        <v>0</v>
      </c>
      <c r="F36" s="3">
        <f t="shared" si="0"/>
        <v>0</v>
      </c>
    </row>
    <row r="37" spans="1:6" hidden="1">
      <c r="A37" t="s">
        <v>19</v>
      </c>
      <c r="B37" t="s">
        <v>24</v>
      </c>
      <c r="C37" s="2">
        <v>46202</v>
      </c>
      <c r="D37" t="s">
        <v>43</v>
      </c>
      <c r="E37">
        <v>650197.17000000004</v>
      </c>
      <c r="F37" s="3">
        <f t="shared" si="0"/>
        <v>650.19717000000003</v>
      </c>
    </row>
    <row r="38" spans="1:6" hidden="1">
      <c r="A38" t="s">
        <v>19</v>
      </c>
      <c r="B38" t="s">
        <v>24</v>
      </c>
      <c r="C38" s="2">
        <v>46202</v>
      </c>
      <c r="D38" t="s">
        <v>44</v>
      </c>
      <c r="E38">
        <v>625880.74</v>
      </c>
      <c r="F38" s="3">
        <f t="shared" si="0"/>
        <v>625.88073999999995</v>
      </c>
    </row>
    <row r="39" spans="1:6" hidden="1">
      <c r="A39" t="s">
        <v>19</v>
      </c>
      <c r="B39" t="s">
        <v>24</v>
      </c>
      <c r="C39" s="2">
        <v>46203</v>
      </c>
      <c r="D39" t="s">
        <v>48</v>
      </c>
      <c r="E39">
        <v>542582.41</v>
      </c>
      <c r="F39" s="3">
        <f t="shared" si="0"/>
        <v>542.58240999999998</v>
      </c>
    </row>
    <row r="40" spans="1:6" hidden="1">
      <c r="A40" t="s">
        <v>19</v>
      </c>
      <c r="B40" t="s">
        <v>24</v>
      </c>
      <c r="C40" s="2">
        <v>46203</v>
      </c>
      <c r="D40" t="s">
        <v>45</v>
      </c>
      <c r="E40">
        <v>449623.55</v>
      </c>
      <c r="F40" s="3">
        <f t="shared" si="0"/>
        <v>449.62354999999997</v>
      </c>
    </row>
    <row r="41" spans="1:6" hidden="1">
      <c r="A41" t="s">
        <v>19</v>
      </c>
      <c r="B41" t="s">
        <v>24</v>
      </c>
      <c r="C41" s="2">
        <v>46202</v>
      </c>
      <c r="D41" t="s">
        <v>47</v>
      </c>
      <c r="E41">
        <v>147262.18</v>
      </c>
      <c r="F41" s="3">
        <f t="shared" si="0"/>
        <v>147.26218</v>
      </c>
    </row>
    <row r="42" spans="1:6" hidden="1">
      <c r="A42" t="s">
        <v>19</v>
      </c>
      <c r="B42" t="s">
        <v>24</v>
      </c>
      <c r="C42" s="2">
        <v>46202</v>
      </c>
      <c r="D42" t="s">
        <v>46</v>
      </c>
      <c r="E42">
        <v>137655.03</v>
      </c>
      <c r="F42" s="3">
        <f t="shared" si="0"/>
        <v>137.65503000000001</v>
      </c>
    </row>
    <row r="43" spans="1:6" hidden="1">
      <c r="A43" t="s">
        <v>19</v>
      </c>
      <c r="B43" t="s">
        <v>24</v>
      </c>
      <c r="C43" s="2">
        <v>46202</v>
      </c>
      <c r="D43" t="s">
        <v>49</v>
      </c>
      <c r="E43">
        <v>93434.12</v>
      </c>
      <c r="F43" s="3">
        <f t="shared" si="0"/>
        <v>93.434119999999993</v>
      </c>
    </row>
    <row r="44" spans="1:6" hidden="1">
      <c r="A44" t="s">
        <v>19</v>
      </c>
      <c r="B44" t="s">
        <v>24</v>
      </c>
      <c r="C44" s="2">
        <v>46203</v>
      </c>
      <c r="D44" t="s">
        <v>50</v>
      </c>
      <c r="E44">
        <v>2878.01</v>
      </c>
      <c r="F44" s="3">
        <f t="shared" si="0"/>
        <v>2.8780100000000002</v>
      </c>
    </row>
    <row r="45" spans="1:6" hidden="1">
      <c r="A45" t="s">
        <v>19</v>
      </c>
      <c r="B45" t="s">
        <v>24</v>
      </c>
      <c r="C45" s="2">
        <v>46202</v>
      </c>
      <c r="D45" t="s">
        <v>51</v>
      </c>
      <c r="E45">
        <v>0</v>
      </c>
      <c r="F45" s="3">
        <f t="shared" si="0"/>
        <v>0</v>
      </c>
    </row>
    <row r="46" spans="1:6" hidden="1">
      <c r="A46" t="s">
        <v>19</v>
      </c>
      <c r="B46" t="s">
        <v>25</v>
      </c>
      <c r="C46" s="2">
        <v>46202</v>
      </c>
      <c r="D46" t="s">
        <v>44</v>
      </c>
      <c r="E46">
        <v>140898.74</v>
      </c>
      <c r="F46" s="3">
        <f t="shared" si="0"/>
        <v>140.89874</v>
      </c>
    </row>
    <row r="47" spans="1:6" hidden="1">
      <c r="A47" t="s">
        <v>19</v>
      </c>
      <c r="B47" t="s">
        <v>25</v>
      </c>
      <c r="C47" s="2">
        <v>46202</v>
      </c>
      <c r="D47" t="s">
        <v>46</v>
      </c>
      <c r="E47">
        <v>125768.89</v>
      </c>
      <c r="F47" s="3">
        <f t="shared" si="0"/>
        <v>125.76889</v>
      </c>
    </row>
    <row r="48" spans="1:6" hidden="1">
      <c r="A48" t="s">
        <v>19</v>
      </c>
      <c r="B48" t="s">
        <v>25</v>
      </c>
      <c r="C48" s="2">
        <v>46202</v>
      </c>
      <c r="D48" t="s">
        <v>43</v>
      </c>
      <c r="E48">
        <v>103202.82</v>
      </c>
      <c r="F48" s="3">
        <f t="shared" si="0"/>
        <v>103.20282</v>
      </c>
    </row>
    <row r="49" spans="1:6" hidden="1">
      <c r="A49" t="s">
        <v>19</v>
      </c>
      <c r="B49" t="s">
        <v>25</v>
      </c>
      <c r="C49" s="2">
        <v>46202</v>
      </c>
      <c r="D49" t="s">
        <v>45</v>
      </c>
      <c r="E49">
        <v>60467.51</v>
      </c>
      <c r="F49" s="3">
        <f t="shared" si="0"/>
        <v>60.467510000000004</v>
      </c>
    </row>
    <row r="50" spans="1:6" hidden="1">
      <c r="A50" t="s">
        <v>19</v>
      </c>
      <c r="B50" t="s">
        <v>25</v>
      </c>
      <c r="C50" s="2">
        <v>46202</v>
      </c>
      <c r="D50" t="s">
        <v>47</v>
      </c>
      <c r="E50">
        <v>51852.4</v>
      </c>
      <c r="F50" s="3">
        <f t="shared" si="0"/>
        <v>51.852400000000003</v>
      </c>
    </row>
    <row r="51" spans="1:6" hidden="1">
      <c r="A51" t="s">
        <v>19</v>
      </c>
      <c r="B51" t="s">
        <v>25</v>
      </c>
      <c r="C51" s="2">
        <v>46202</v>
      </c>
      <c r="D51" t="s">
        <v>49</v>
      </c>
      <c r="E51">
        <v>11769.55</v>
      </c>
      <c r="F51" s="3">
        <f t="shared" si="0"/>
        <v>11.769549999999999</v>
      </c>
    </row>
    <row r="52" spans="1:6" hidden="1">
      <c r="A52" t="s">
        <v>19</v>
      </c>
      <c r="B52" t="s">
        <v>25</v>
      </c>
      <c r="C52" s="2">
        <v>46202</v>
      </c>
      <c r="D52" t="s">
        <v>48</v>
      </c>
      <c r="E52">
        <v>4928.7299999999996</v>
      </c>
      <c r="F52" s="3">
        <f t="shared" si="0"/>
        <v>4.9287299999999998</v>
      </c>
    </row>
    <row r="53" spans="1:6" hidden="1">
      <c r="A53" t="s">
        <v>19</v>
      </c>
      <c r="B53" t="s">
        <v>25</v>
      </c>
      <c r="C53" s="2">
        <v>46202</v>
      </c>
      <c r="D53" t="s">
        <v>51</v>
      </c>
      <c r="E53">
        <v>0</v>
      </c>
      <c r="F53" s="3">
        <f t="shared" si="0"/>
        <v>0</v>
      </c>
    </row>
    <row r="54" spans="1:6" hidden="1">
      <c r="A54" t="s">
        <v>19</v>
      </c>
      <c r="B54" t="s">
        <v>25</v>
      </c>
      <c r="C54" s="2">
        <v>46202</v>
      </c>
      <c r="D54" t="s">
        <v>50</v>
      </c>
      <c r="E54">
        <v>0</v>
      </c>
      <c r="F54" s="3">
        <f t="shared" si="0"/>
        <v>0</v>
      </c>
    </row>
    <row r="55" spans="1:6" hidden="1">
      <c r="A55" t="s">
        <v>19</v>
      </c>
      <c r="B55" t="s">
        <v>26</v>
      </c>
      <c r="C55" s="2">
        <v>46202</v>
      </c>
      <c r="D55" t="s">
        <v>43</v>
      </c>
      <c r="E55">
        <v>472977.16</v>
      </c>
      <c r="F55" s="3">
        <f t="shared" si="0"/>
        <v>472.97715999999997</v>
      </c>
    </row>
    <row r="56" spans="1:6" hidden="1">
      <c r="A56" t="s">
        <v>19</v>
      </c>
      <c r="B56" t="s">
        <v>26</v>
      </c>
      <c r="C56" s="2">
        <v>46203</v>
      </c>
      <c r="D56" t="s">
        <v>45</v>
      </c>
      <c r="E56">
        <v>426729.6</v>
      </c>
      <c r="F56" s="3">
        <f t="shared" si="0"/>
        <v>426.7296</v>
      </c>
    </row>
    <row r="57" spans="1:6" hidden="1">
      <c r="A57" t="s">
        <v>19</v>
      </c>
      <c r="B57" t="s">
        <v>26</v>
      </c>
      <c r="C57" s="2">
        <v>46202</v>
      </c>
      <c r="D57" t="s">
        <v>44</v>
      </c>
      <c r="E57">
        <v>269630.74</v>
      </c>
      <c r="F57" s="3">
        <f t="shared" si="0"/>
        <v>269.63074</v>
      </c>
    </row>
    <row r="58" spans="1:6" hidden="1">
      <c r="A58" t="s">
        <v>19</v>
      </c>
      <c r="B58" t="s">
        <v>26</v>
      </c>
      <c r="C58" s="2">
        <v>46202</v>
      </c>
      <c r="D58" t="s">
        <v>46</v>
      </c>
      <c r="E58">
        <v>205797.94</v>
      </c>
      <c r="F58" s="3">
        <f t="shared" si="0"/>
        <v>205.79794000000001</v>
      </c>
    </row>
    <row r="59" spans="1:6" hidden="1">
      <c r="A59" t="s">
        <v>19</v>
      </c>
      <c r="B59" t="s">
        <v>26</v>
      </c>
      <c r="C59" s="2">
        <v>46202</v>
      </c>
      <c r="D59" t="s">
        <v>47</v>
      </c>
      <c r="E59">
        <v>120907.48</v>
      </c>
      <c r="F59" s="3">
        <f t="shared" si="0"/>
        <v>120.90747999999999</v>
      </c>
    </row>
    <row r="60" spans="1:6" hidden="1">
      <c r="A60" t="s">
        <v>19</v>
      </c>
      <c r="B60" t="s">
        <v>26</v>
      </c>
      <c r="C60" s="2">
        <v>46202</v>
      </c>
      <c r="D60" t="s">
        <v>49</v>
      </c>
      <c r="E60">
        <v>49425.23</v>
      </c>
      <c r="F60" s="3">
        <f t="shared" si="0"/>
        <v>49.425230000000006</v>
      </c>
    </row>
    <row r="61" spans="1:6" hidden="1">
      <c r="A61" t="s">
        <v>19</v>
      </c>
      <c r="B61" t="s">
        <v>26</v>
      </c>
      <c r="C61" s="2">
        <v>46203</v>
      </c>
      <c r="D61" t="s">
        <v>48</v>
      </c>
      <c r="E61">
        <v>36213.65</v>
      </c>
      <c r="F61" s="3">
        <f t="shared" si="0"/>
        <v>36.213650000000001</v>
      </c>
    </row>
    <row r="62" spans="1:6" hidden="1">
      <c r="A62" t="s">
        <v>19</v>
      </c>
      <c r="B62" t="s">
        <v>26</v>
      </c>
      <c r="C62" s="2">
        <v>46202</v>
      </c>
      <c r="D62" t="s">
        <v>50</v>
      </c>
      <c r="E62">
        <v>657.13</v>
      </c>
      <c r="F62" s="3">
        <f t="shared" si="0"/>
        <v>0.65712999999999999</v>
      </c>
    </row>
    <row r="63" spans="1:6" hidden="1">
      <c r="A63" t="s">
        <v>19</v>
      </c>
      <c r="B63" t="s">
        <v>26</v>
      </c>
      <c r="C63" s="2">
        <v>46202</v>
      </c>
      <c r="D63" t="s">
        <v>51</v>
      </c>
      <c r="E63">
        <v>0</v>
      </c>
      <c r="F63" s="3">
        <f t="shared" si="0"/>
        <v>0</v>
      </c>
    </row>
    <row r="64" spans="1:6" hidden="1">
      <c r="A64" t="s">
        <v>19</v>
      </c>
      <c r="B64" t="s">
        <v>27</v>
      </c>
      <c r="C64" s="2">
        <v>46202</v>
      </c>
      <c r="D64" t="s">
        <v>43</v>
      </c>
      <c r="E64">
        <v>438195.49</v>
      </c>
      <c r="F64" s="3">
        <f t="shared" si="0"/>
        <v>438.19549000000001</v>
      </c>
    </row>
    <row r="65" spans="1:6" hidden="1">
      <c r="A65" t="s">
        <v>19</v>
      </c>
      <c r="B65" t="s">
        <v>27</v>
      </c>
      <c r="C65" s="2">
        <v>46203</v>
      </c>
      <c r="D65" t="s">
        <v>45</v>
      </c>
      <c r="E65">
        <v>306952.2</v>
      </c>
      <c r="F65" s="3">
        <f t="shared" si="0"/>
        <v>306.9522</v>
      </c>
    </row>
    <row r="66" spans="1:6" hidden="1">
      <c r="A66" t="s">
        <v>19</v>
      </c>
      <c r="B66" t="s">
        <v>27</v>
      </c>
      <c r="C66" s="2">
        <v>46202</v>
      </c>
      <c r="D66" t="s">
        <v>44</v>
      </c>
      <c r="E66">
        <v>250211.04</v>
      </c>
      <c r="F66" s="3">
        <f t="shared" si="0"/>
        <v>250.21104</v>
      </c>
    </row>
    <row r="67" spans="1:6" hidden="1">
      <c r="A67" t="s">
        <v>19</v>
      </c>
      <c r="B67" t="s">
        <v>27</v>
      </c>
      <c r="C67" s="2">
        <v>46202</v>
      </c>
      <c r="D67" t="s">
        <v>46</v>
      </c>
      <c r="E67">
        <v>191468.74</v>
      </c>
      <c r="F67" s="3">
        <f t="shared" ref="F67:F130" si="1">E67/1000</f>
        <v>191.46874</v>
      </c>
    </row>
    <row r="68" spans="1:6" hidden="1">
      <c r="A68" t="s">
        <v>19</v>
      </c>
      <c r="B68" t="s">
        <v>27</v>
      </c>
      <c r="C68" s="2">
        <v>46202</v>
      </c>
      <c r="D68" t="s">
        <v>47</v>
      </c>
      <c r="E68">
        <v>112364.79</v>
      </c>
      <c r="F68" s="3">
        <f t="shared" si="1"/>
        <v>112.36479</v>
      </c>
    </row>
    <row r="69" spans="1:6" hidden="1">
      <c r="A69" t="s">
        <v>19</v>
      </c>
      <c r="B69" t="s">
        <v>27</v>
      </c>
      <c r="C69" s="2">
        <v>46202</v>
      </c>
      <c r="D69" t="s">
        <v>49</v>
      </c>
      <c r="E69">
        <v>45855.9</v>
      </c>
      <c r="F69" s="3">
        <f t="shared" si="1"/>
        <v>45.855899999999998</v>
      </c>
    </row>
    <row r="70" spans="1:6" hidden="1">
      <c r="A70" t="s">
        <v>19</v>
      </c>
      <c r="B70" t="s">
        <v>27</v>
      </c>
      <c r="C70" s="2">
        <v>46203</v>
      </c>
      <c r="D70" t="s">
        <v>48</v>
      </c>
      <c r="E70">
        <v>31090.37</v>
      </c>
      <c r="F70" s="3">
        <f t="shared" si="1"/>
        <v>31.09037</v>
      </c>
    </row>
    <row r="71" spans="1:6" hidden="1">
      <c r="A71" t="s">
        <v>19</v>
      </c>
      <c r="B71" t="s">
        <v>27</v>
      </c>
      <c r="C71" s="2">
        <v>46202</v>
      </c>
      <c r="D71" t="s">
        <v>50</v>
      </c>
      <c r="E71">
        <v>569.32000000000005</v>
      </c>
      <c r="F71" s="3">
        <f t="shared" si="1"/>
        <v>0.56932000000000005</v>
      </c>
    </row>
    <row r="72" spans="1:6" hidden="1">
      <c r="A72" t="s">
        <v>19</v>
      </c>
      <c r="B72" t="s">
        <v>27</v>
      </c>
      <c r="C72" s="2">
        <v>46202</v>
      </c>
      <c r="D72" t="s">
        <v>51</v>
      </c>
      <c r="E72">
        <v>0</v>
      </c>
      <c r="F72" s="3">
        <f t="shared" si="1"/>
        <v>0</v>
      </c>
    </row>
    <row r="73" spans="1:6" hidden="1">
      <c r="A73" t="s">
        <v>19</v>
      </c>
      <c r="B73" t="s">
        <v>28</v>
      </c>
      <c r="C73" s="2">
        <v>46202</v>
      </c>
      <c r="D73" t="s">
        <v>44</v>
      </c>
      <c r="E73">
        <v>499006.31</v>
      </c>
      <c r="F73" s="3">
        <f t="shared" si="1"/>
        <v>499.00630999999998</v>
      </c>
    </row>
    <row r="74" spans="1:6" hidden="1">
      <c r="A74" t="s">
        <v>19</v>
      </c>
      <c r="B74" t="s">
        <v>28</v>
      </c>
      <c r="C74" s="2">
        <v>46202</v>
      </c>
      <c r="D74" t="s">
        <v>46</v>
      </c>
      <c r="E74">
        <v>293872.94</v>
      </c>
      <c r="F74" s="3">
        <f t="shared" si="1"/>
        <v>293.87294000000003</v>
      </c>
    </row>
    <row r="75" spans="1:6" hidden="1">
      <c r="A75" t="s">
        <v>19</v>
      </c>
      <c r="B75" t="s">
        <v>28</v>
      </c>
      <c r="C75" s="2">
        <v>46202</v>
      </c>
      <c r="D75" t="s">
        <v>43</v>
      </c>
      <c r="E75">
        <v>220329.68</v>
      </c>
      <c r="F75" s="3">
        <f t="shared" si="1"/>
        <v>220.32968</v>
      </c>
    </row>
    <row r="76" spans="1:6" hidden="1">
      <c r="A76" t="s">
        <v>19</v>
      </c>
      <c r="B76" t="s">
        <v>28</v>
      </c>
      <c r="C76" s="2">
        <v>46202</v>
      </c>
      <c r="D76" t="s">
        <v>45</v>
      </c>
      <c r="E76">
        <v>88582.15</v>
      </c>
      <c r="F76" s="3">
        <f t="shared" si="1"/>
        <v>88.582149999999999</v>
      </c>
    </row>
    <row r="77" spans="1:6" hidden="1">
      <c r="A77" t="s">
        <v>19</v>
      </c>
      <c r="B77" t="s">
        <v>28</v>
      </c>
      <c r="C77" s="2">
        <v>46202</v>
      </c>
      <c r="D77" t="s">
        <v>47</v>
      </c>
      <c r="E77">
        <v>53376.31</v>
      </c>
      <c r="F77" s="3">
        <f t="shared" si="1"/>
        <v>53.376309999999997</v>
      </c>
    </row>
    <row r="78" spans="1:6" hidden="1">
      <c r="A78" t="s">
        <v>19</v>
      </c>
      <c r="B78" t="s">
        <v>28</v>
      </c>
      <c r="C78" s="2">
        <v>46202</v>
      </c>
      <c r="D78" t="s">
        <v>49</v>
      </c>
      <c r="E78">
        <v>23996.06</v>
      </c>
      <c r="F78" s="3">
        <f t="shared" si="1"/>
        <v>23.99606</v>
      </c>
    </row>
    <row r="79" spans="1:6" hidden="1">
      <c r="A79" t="s">
        <v>19</v>
      </c>
      <c r="B79" t="s">
        <v>28</v>
      </c>
      <c r="C79" s="2">
        <v>46202</v>
      </c>
      <c r="D79" t="s">
        <v>48</v>
      </c>
      <c r="E79">
        <v>9598.7099999999991</v>
      </c>
      <c r="F79" s="3">
        <f t="shared" si="1"/>
        <v>9.5987099999999987</v>
      </c>
    </row>
    <row r="80" spans="1:6" hidden="1">
      <c r="A80" t="s">
        <v>19</v>
      </c>
      <c r="B80" t="s">
        <v>28</v>
      </c>
      <c r="C80" s="2">
        <v>46202</v>
      </c>
      <c r="D80" t="s">
        <v>50</v>
      </c>
      <c r="E80">
        <v>296.74</v>
      </c>
      <c r="F80" s="3">
        <f t="shared" si="1"/>
        <v>0.29674</v>
      </c>
    </row>
    <row r="81" spans="1:6" hidden="1">
      <c r="A81" t="s">
        <v>19</v>
      </c>
      <c r="B81" t="s">
        <v>28</v>
      </c>
      <c r="C81" s="2">
        <v>46202</v>
      </c>
      <c r="D81" t="s">
        <v>51</v>
      </c>
      <c r="E81">
        <v>0</v>
      </c>
      <c r="F81" s="3">
        <f t="shared" si="1"/>
        <v>0</v>
      </c>
    </row>
    <row r="82" spans="1:6" hidden="1">
      <c r="A82" t="s">
        <v>19</v>
      </c>
      <c r="B82" t="s">
        <v>29</v>
      </c>
      <c r="C82" s="2">
        <v>46202</v>
      </c>
      <c r="D82" t="s">
        <v>44</v>
      </c>
      <c r="E82">
        <v>534159.74</v>
      </c>
      <c r="F82" s="3">
        <f t="shared" si="1"/>
        <v>534.15973999999994</v>
      </c>
    </row>
    <row r="83" spans="1:6" hidden="1">
      <c r="A83" t="s">
        <v>19</v>
      </c>
      <c r="B83" t="s">
        <v>29</v>
      </c>
      <c r="C83" s="2">
        <v>46202</v>
      </c>
      <c r="D83" t="s">
        <v>43</v>
      </c>
      <c r="E83">
        <v>428867.16</v>
      </c>
      <c r="F83" s="3">
        <f t="shared" si="1"/>
        <v>428.86715999999996</v>
      </c>
    </row>
    <row r="84" spans="1:6" hidden="1">
      <c r="A84" t="s">
        <v>19</v>
      </c>
      <c r="B84" t="s">
        <v>29</v>
      </c>
      <c r="C84" s="2">
        <v>46202</v>
      </c>
      <c r="D84" t="s">
        <v>46</v>
      </c>
      <c r="E84">
        <v>328046.64</v>
      </c>
      <c r="F84" s="3">
        <f t="shared" si="1"/>
        <v>328.04664000000002</v>
      </c>
    </row>
    <row r="85" spans="1:6" hidden="1">
      <c r="A85" t="s">
        <v>19</v>
      </c>
      <c r="B85" t="s">
        <v>29</v>
      </c>
      <c r="C85" s="2">
        <v>46202</v>
      </c>
      <c r="D85" t="s">
        <v>45</v>
      </c>
      <c r="E85">
        <v>236506.79</v>
      </c>
      <c r="F85" s="3">
        <f t="shared" si="1"/>
        <v>236.50679</v>
      </c>
    </row>
    <row r="86" spans="1:6" hidden="1">
      <c r="A86" t="s">
        <v>19</v>
      </c>
      <c r="B86" t="s">
        <v>29</v>
      </c>
      <c r="C86" s="2">
        <v>46202</v>
      </c>
      <c r="D86" t="s">
        <v>47</v>
      </c>
      <c r="E86">
        <v>74952</v>
      </c>
      <c r="F86" s="3">
        <f t="shared" si="1"/>
        <v>74.951999999999998</v>
      </c>
    </row>
    <row r="87" spans="1:6" hidden="1">
      <c r="A87" t="s">
        <v>19</v>
      </c>
      <c r="B87" t="s">
        <v>29</v>
      </c>
      <c r="C87" s="2">
        <v>46202</v>
      </c>
      <c r="D87" t="s">
        <v>49</v>
      </c>
      <c r="E87">
        <v>41233.1</v>
      </c>
      <c r="F87" s="3">
        <f t="shared" si="1"/>
        <v>41.2331</v>
      </c>
    </row>
    <row r="88" spans="1:6" hidden="1">
      <c r="A88" t="s">
        <v>19</v>
      </c>
      <c r="B88" t="s">
        <v>29</v>
      </c>
      <c r="C88" s="2">
        <v>46202</v>
      </c>
      <c r="D88" t="s">
        <v>48</v>
      </c>
      <c r="E88">
        <v>8597.33</v>
      </c>
      <c r="F88" s="3">
        <f t="shared" si="1"/>
        <v>8.5973299999999995</v>
      </c>
    </row>
    <row r="89" spans="1:6" hidden="1">
      <c r="A89" t="s">
        <v>19</v>
      </c>
      <c r="B89" t="s">
        <v>29</v>
      </c>
      <c r="C89" s="2">
        <v>46202</v>
      </c>
      <c r="D89" t="s">
        <v>50</v>
      </c>
      <c r="E89">
        <v>900.03</v>
      </c>
      <c r="F89" s="3">
        <f t="shared" si="1"/>
        <v>0.90003</v>
      </c>
    </row>
    <row r="90" spans="1:6" hidden="1">
      <c r="A90" t="s">
        <v>19</v>
      </c>
      <c r="B90" t="s">
        <v>29</v>
      </c>
      <c r="C90" s="2">
        <v>46202</v>
      </c>
      <c r="D90" t="s">
        <v>51</v>
      </c>
      <c r="E90">
        <v>0</v>
      </c>
      <c r="F90" s="3">
        <f t="shared" si="1"/>
        <v>0</v>
      </c>
    </row>
    <row r="91" spans="1:6" hidden="1">
      <c r="A91" t="s">
        <v>19</v>
      </c>
      <c r="B91" t="s">
        <v>30</v>
      </c>
      <c r="C91" s="2">
        <v>46202</v>
      </c>
      <c r="D91" t="s">
        <v>44</v>
      </c>
      <c r="E91">
        <v>315810.39</v>
      </c>
      <c r="F91" s="3">
        <f t="shared" si="1"/>
        <v>315.81039000000004</v>
      </c>
    </row>
    <row r="92" spans="1:6" hidden="1">
      <c r="A92" t="s">
        <v>19</v>
      </c>
      <c r="B92" t="s">
        <v>30</v>
      </c>
      <c r="C92" s="2">
        <v>46202</v>
      </c>
      <c r="D92" t="s">
        <v>43</v>
      </c>
      <c r="E92">
        <v>255770.87</v>
      </c>
      <c r="F92" s="3">
        <f t="shared" si="1"/>
        <v>255.77087</v>
      </c>
    </row>
    <row r="93" spans="1:6" hidden="1">
      <c r="A93" t="s">
        <v>19</v>
      </c>
      <c r="B93" t="s">
        <v>30</v>
      </c>
      <c r="C93" s="2">
        <v>46202</v>
      </c>
      <c r="D93" t="s">
        <v>46</v>
      </c>
      <c r="E93">
        <v>195871.35999999999</v>
      </c>
      <c r="F93" s="3">
        <f t="shared" si="1"/>
        <v>195.87135999999998</v>
      </c>
    </row>
    <row r="94" spans="1:6" hidden="1">
      <c r="A94" t="s">
        <v>19</v>
      </c>
      <c r="B94" t="s">
        <v>30</v>
      </c>
      <c r="C94" s="2">
        <v>46202</v>
      </c>
      <c r="D94" t="s">
        <v>45</v>
      </c>
      <c r="E94">
        <v>141177.53</v>
      </c>
      <c r="F94" s="3">
        <f t="shared" si="1"/>
        <v>141.17752999999999</v>
      </c>
    </row>
    <row r="95" spans="1:6" hidden="1">
      <c r="A95" t="s">
        <v>19</v>
      </c>
      <c r="B95" t="s">
        <v>30</v>
      </c>
      <c r="C95" s="2">
        <v>46202</v>
      </c>
      <c r="D95" t="s">
        <v>47</v>
      </c>
      <c r="E95">
        <v>43991.16</v>
      </c>
      <c r="F95" s="3">
        <f t="shared" si="1"/>
        <v>43.991160000000001</v>
      </c>
    </row>
    <row r="96" spans="1:6" hidden="1">
      <c r="A96" t="s">
        <v>19</v>
      </c>
      <c r="B96" t="s">
        <v>30</v>
      </c>
      <c r="C96" s="2">
        <v>46202</v>
      </c>
      <c r="D96" t="s">
        <v>49</v>
      </c>
      <c r="E96">
        <v>24650.7</v>
      </c>
      <c r="F96" s="3">
        <f t="shared" si="1"/>
        <v>24.650700000000001</v>
      </c>
    </row>
    <row r="97" spans="1:6" hidden="1">
      <c r="A97" t="s">
        <v>19</v>
      </c>
      <c r="B97" t="s">
        <v>30</v>
      </c>
      <c r="C97" s="2">
        <v>46202</v>
      </c>
      <c r="D97" t="s">
        <v>48</v>
      </c>
      <c r="E97">
        <v>5036.49</v>
      </c>
      <c r="F97" s="3">
        <f t="shared" si="1"/>
        <v>5.0364899999999997</v>
      </c>
    </row>
    <row r="98" spans="1:6" hidden="1">
      <c r="A98" t="s">
        <v>19</v>
      </c>
      <c r="B98" t="s">
        <v>30</v>
      </c>
      <c r="C98" s="2">
        <v>46202</v>
      </c>
      <c r="D98" t="s">
        <v>50</v>
      </c>
      <c r="E98">
        <v>430.08</v>
      </c>
      <c r="F98" s="3">
        <f t="shared" si="1"/>
        <v>0.43007999999999996</v>
      </c>
    </row>
    <row r="99" spans="1:6" hidden="1">
      <c r="A99" t="s">
        <v>19</v>
      </c>
      <c r="B99" t="s">
        <v>30</v>
      </c>
      <c r="C99" s="2">
        <v>46202</v>
      </c>
      <c r="D99" t="s">
        <v>51</v>
      </c>
      <c r="E99">
        <v>0</v>
      </c>
      <c r="F99" s="3">
        <f t="shared" si="1"/>
        <v>0</v>
      </c>
    </row>
    <row r="100" spans="1:6" hidden="1">
      <c r="A100" t="s">
        <v>19</v>
      </c>
      <c r="B100" t="s">
        <v>31</v>
      </c>
      <c r="C100" s="2">
        <v>46202</v>
      </c>
      <c r="D100" t="s">
        <v>44</v>
      </c>
      <c r="E100">
        <v>502356.3</v>
      </c>
      <c r="F100" s="3">
        <f t="shared" si="1"/>
        <v>502.35629999999998</v>
      </c>
    </row>
    <row r="101" spans="1:6" hidden="1">
      <c r="A101" t="s">
        <v>19</v>
      </c>
      <c r="B101" t="s">
        <v>31</v>
      </c>
      <c r="C101" s="2">
        <v>46203</v>
      </c>
      <c r="D101" t="s">
        <v>45</v>
      </c>
      <c r="E101">
        <v>428673.73</v>
      </c>
      <c r="F101" s="3">
        <f t="shared" si="1"/>
        <v>428.67372999999998</v>
      </c>
    </row>
    <row r="102" spans="1:6" hidden="1">
      <c r="A102" t="s">
        <v>19</v>
      </c>
      <c r="B102" t="s">
        <v>31</v>
      </c>
      <c r="C102" s="2">
        <v>46202</v>
      </c>
      <c r="D102" t="s">
        <v>43</v>
      </c>
      <c r="E102">
        <v>405801.08</v>
      </c>
      <c r="F102" s="3">
        <f t="shared" si="1"/>
        <v>405.80108000000001</v>
      </c>
    </row>
    <row r="103" spans="1:6" hidden="1">
      <c r="A103" t="s">
        <v>19</v>
      </c>
      <c r="B103" t="s">
        <v>31</v>
      </c>
      <c r="C103" s="2">
        <v>46202</v>
      </c>
      <c r="D103" t="s">
        <v>46</v>
      </c>
      <c r="E103">
        <v>312754.90999999997</v>
      </c>
      <c r="F103" s="3">
        <f t="shared" si="1"/>
        <v>312.75491</v>
      </c>
    </row>
    <row r="104" spans="1:6" hidden="1">
      <c r="A104" t="s">
        <v>19</v>
      </c>
      <c r="B104" t="s">
        <v>31</v>
      </c>
      <c r="C104" s="2">
        <v>46203</v>
      </c>
      <c r="D104" t="s">
        <v>48</v>
      </c>
      <c r="E104">
        <v>72779.92</v>
      </c>
      <c r="F104" s="3">
        <f t="shared" si="1"/>
        <v>72.779920000000004</v>
      </c>
    </row>
    <row r="105" spans="1:6" hidden="1">
      <c r="A105" t="s">
        <v>19</v>
      </c>
      <c r="B105" t="s">
        <v>31</v>
      </c>
      <c r="C105" s="2">
        <v>46202</v>
      </c>
      <c r="D105" t="s">
        <v>47</v>
      </c>
      <c r="E105">
        <v>71129.62</v>
      </c>
      <c r="F105" s="3">
        <f t="shared" si="1"/>
        <v>71.129619999999989</v>
      </c>
    </row>
    <row r="106" spans="1:6" hidden="1">
      <c r="A106" t="s">
        <v>19</v>
      </c>
      <c r="B106" t="s">
        <v>31</v>
      </c>
      <c r="C106" s="2">
        <v>46202</v>
      </c>
      <c r="D106" t="s">
        <v>49</v>
      </c>
      <c r="E106">
        <v>39304.47</v>
      </c>
      <c r="F106" s="3">
        <f t="shared" si="1"/>
        <v>39.304470000000002</v>
      </c>
    </row>
    <row r="107" spans="1:6" hidden="1">
      <c r="A107" t="s">
        <v>19</v>
      </c>
      <c r="B107" t="s">
        <v>31</v>
      </c>
      <c r="C107" s="2">
        <v>46203</v>
      </c>
      <c r="D107" t="s">
        <v>50</v>
      </c>
      <c r="E107">
        <v>2314.71</v>
      </c>
      <c r="F107" s="3">
        <f t="shared" si="1"/>
        <v>2.3147099999999998</v>
      </c>
    </row>
    <row r="108" spans="1:6" hidden="1">
      <c r="A108" t="s">
        <v>19</v>
      </c>
      <c r="B108" t="s">
        <v>31</v>
      </c>
      <c r="C108" s="2">
        <v>46202</v>
      </c>
      <c r="D108" t="s">
        <v>51</v>
      </c>
      <c r="E108">
        <v>0</v>
      </c>
      <c r="F108" s="3">
        <f t="shared" si="1"/>
        <v>0</v>
      </c>
    </row>
    <row r="109" spans="1:6" hidden="1">
      <c r="A109" t="s">
        <v>32</v>
      </c>
      <c r="B109" t="s">
        <v>20</v>
      </c>
      <c r="C109" s="2">
        <v>46204</v>
      </c>
      <c r="D109" t="s">
        <v>43</v>
      </c>
      <c r="E109">
        <v>334656.13</v>
      </c>
      <c r="F109" s="3">
        <f t="shared" si="1"/>
        <v>334.65613000000002</v>
      </c>
    </row>
    <row r="110" spans="1:6" hidden="1">
      <c r="A110" t="s">
        <v>32</v>
      </c>
      <c r="B110" t="s">
        <v>20</v>
      </c>
      <c r="C110" s="2">
        <v>46204</v>
      </c>
      <c r="D110" t="s">
        <v>45</v>
      </c>
      <c r="E110">
        <v>223328.71</v>
      </c>
      <c r="F110" s="3">
        <f t="shared" si="1"/>
        <v>223.32871</v>
      </c>
    </row>
    <row r="111" spans="1:6" hidden="1">
      <c r="A111" t="s">
        <v>32</v>
      </c>
      <c r="B111" t="s">
        <v>20</v>
      </c>
      <c r="C111" s="2">
        <v>46224</v>
      </c>
      <c r="D111" t="s">
        <v>44</v>
      </c>
      <c r="E111">
        <v>221199.61</v>
      </c>
      <c r="F111" s="3">
        <f t="shared" si="1"/>
        <v>221.19960999999998</v>
      </c>
    </row>
    <row r="112" spans="1:6" hidden="1">
      <c r="A112" t="s">
        <v>32</v>
      </c>
      <c r="B112" t="s">
        <v>20</v>
      </c>
      <c r="C112" s="2">
        <v>46204</v>
      </c>
      <c r="D112" t="s">
        <v>46</v>
      </c>
      <c r="E112">
        <v>155372.73000000001</v>
      </c>
      <c r="F112" s="3">
        <f t="shared" si="1"/>
        <v>155.37273000000002</v>
      </c>
    </row>
    <row r="113" spans="1:6" hidden="1">
      <c r="A113" t="s">
        <v>32</v>
      </c>
      <c r="B113" t="s">
        <v>20</v>
      </c>
      <c r="C113" s="2">
        <v>46231</v>
      </c>
      <c r="D113" t="s">
        <v>48</v>
      </c>
      <c r="E113">
        <v>107558.26</v>
      </c>
      <c r="F113" s="3">
        <f t="shared" si="1"/>
        <v>107.55825999999999</v>
      </c>
    </row>
    <row r="114" spans="1:6" hidden="1">
      <c r="A114" t="s">
        <v>32</v>
      </c>
      <c r="B114" t="s">
        <v>20</v>
      </c>
      <c r="C114" s="2">
        <v>46204</v>
      </c>
      <c r="D114" t="s">
        <v>47</v>
      </c>
      <c r="E114">
        <v>57460.97</v>
      </c>
      <c r="F114" s="3">
        <f t="shared" si="1"/>
        <v>57.460970000000003</v>
      </c>
    </row>
    <row r="115" spans="1:6" hidden="1">
      <c r="A115" t="s">
        <v>32</v>
      </c>
      <c r="B115" t="s">
        <v>20</v>
      </c>
      <c r="C115" s="2">
        <v>46230</v>
      </c>
      <c r="D115" t="s">
        <v>49</v>
      </c>
      <c r="E115">
        <v>53895.16</v>
      </c>
      <c r="F115" s="3">
        <f t="shared" si="1"/>
        <v>53.895160000000004</v>
      </c>
    </row>
    <row r="116" spans="1:6" hidden="1">
      <c r="A116" t="s">
        <v>32</v>
      </c>
      <c r="B116" t="s">
        <v>20</v>
      </c>
      <c r="C116" s="2">
        <v>46231</v>
      </c>
      <c r="D116" t="s">
        <v>50</v>
      </c>
      <c r="E116">
        <v>4467.54</v>
      </c>
      <c r="F116" s="3">
        <f t="shared" si="1"/>
        <v>4.4675399999999996</v>
      </c>
    </row>
    <row r="117" spans="1:6" hidden="1">
      <c r="A117" t="s">
        <v>32</v>
      </c>
      <c r="B117" t="s">
        <v>21</v>
      </c>
      <c r="C117" s="2">
        <v>46204</v>
      </c>
      <c r="D117" t="s">
        <v>43</v>
      </c>
      <c r="E117">
        <v>588133.37</v>
      </c>
      <c r="F117" s="3">
        <f t="shared" si="1"/>
        <v>588.13337000000001</v>
      </c>
    </row>
    <row r="118" spans="1:6" hidden="1">
      <c r="A118" t="s">
        <v>32</v>
      </c>
      <c r="B118" t="s">
        <v>21</v>
      </c>
      <c r="C118" s="2">
        <v>46204</v>
      </c>
      <c r="D118" t="s">
        <v>46</v>
      </c>
      <c r="E118">
        <v>407620.66</v>
      </c>
      <c r="F118" s="3">
        <f t="shared" si="1"/>
        <v>407.62065999999999</v>
      </c>
    </row>
    <row r="119" spans="1:6" hidden="1">
      <c r="A119" t="s">
        <v>32</v>
      </c>
      <c r="B119" t="s">
        <v>21</v>
      </c>
      <c r="C119" s="2">
        <v>46204</v>
      </c>
      <c r="D119" t="s">
        <v>45</v>
      </c>
      <c r="E119">
        <v>279445.53000000003</v>
      </c>
      <c r="F119" s="3">
        <f t="shared" si="1"/>
        <v>279.44553000000002</v>
      </c>
    </row>
    <row r="120" spans="1:6" hidden="1">
      <c r="A120" t="s">
        <v>32</v>
      </c>
      <c r="B120" t="s">
        <v>21</v>
      </c>
      <c r="C120" s="2">
        <v>46234</v>
      </c>
      <c r="D120" t="s">
        <v>48</v>
      </c>
      <c r="E120">
        <v>108390.23</v>
      </c>
      <c r="F120" s="3">
        <f t="shared" si="1"/>
        <v>108.39023</v>
      </c>
    </row>
    <row r="121" spans="1:6" hidden="1">
      <c r="A121" t="s">
        <v>32</v>
      </c>
      <c r="B121" t="s">
        <v>21</v>
      </c>
      <c r="C121" s="2">
        <v>46204</v>
      </c>
      <c r="D121" t="s">
        <v>47</v>
      </c>
      <c r="E121">
        <v>107543.26</v>
      </c>
      <c r="F121" s="3">
        <f t="shared" si="1"/>
        <v>107.54325999999999</v>
      </c>
    </row>
    <row r="122" spans="1:6" hidden="1">
      <c r="A122" t="s">
        <v>32</v>
      </c>
      <c r="B122" t="s">
        <v>21</v>
      </c>
      <c r="C122" s="2">
        <v>46234</v>
      </c>
      <c r="D122" t="s">
        <v>50</v>
      </c>
      <c r="E122">
        <v>53825.14</v>
      </c>
      <c r="F122" s="3">
        <f t="shared" si="1"/>
        <v>53.825139999999998</v>
      </c>
    </row>
    <row r="123" spans="1:6" hidden="1">
      <c r="A123" t="s">
        <v>32</v>
      </c>
      <c r="B123" t="s">
        <v>21</v>
      </c>
      <c r="C123" s="2">
        <v>46204</v>
      </c>
      <c r="D123" t="s">
        <v>49</v>
      </c>
      <c r="E123">
        <v>41209.79</v>
      </c>
      <c r="F123" s="3">
        <f t="shared" si="1"/>
        <v>41.209789999999998</v>
      </c>
    </row>
    <row r="124" spans="1:6" hidden="1">
      <c r="A124" t="s">
        <v>32</v>
      </c>
      <c r="B124" t="s">
        <v>21</v>
      </c>
      <c r="C124" s="2">
        <v>46204</v>
      </c>
      <c r="D124" t="s">
        <v>44</v>
      </c>
      <c r="E124">
        <v>31113.13</v>
      </c>
      <c r="F124" s="3">
        <f t="shared" si="1"/>
        <v>31.113130000000002</v>
      </c>
    </row>
    <row r="125" spans="1:6" hidden="1">
      <c r="A125" t="s">
        <v>32</v>
      </c>
      <c r="B125" t="s">
        <v>21</v>
      </c>
      <c r="C125" s="2">
        <v>46204</v>
      </c>
      <c r="D125" t="s">
        <v>51</v>
      </c>
      <c r="E125">
        <v>0</v>
      </c>
      <c r="F125" s="3">
        <f t="shared" si="1"/>
        <v>0</v>
      </c>
    </row>
    <row r="126" spans="1:6" hidden="1">
      <c r="A126" t="s">
        <v>32</v>
      </c>
      <c r="B126" t="s">
        <v>22</v>
      </c>
      <c r="C126" s="2">
        <v>46204</v>
      </c>
      <c r="D126" t="s">
        <v>44</v>
      </c>
      <c r="E126">
        <v>566455.13</v>
      </c>
      <c r="F126" s="3">
        <f t="shared" si="1"/>
        <v>566.45513000000005</v>
      </c>
    </row>
    <row r="127" spans="1:6" hidden="1">
      <c r="A127" t="s">
        <v>32</v>
      </c>
      <c r="B127" t="s">
        <v>22</v>
      </c>
      <c r="C127" s="2">
        <v>46205</v>
      </c>
      <c r="D127" t="s">
        <v>43</v>
      </c>
      <c r="E127">
        <v>563441.26</v>
      </c>
      <c r="F127" s="3">
        <f t="shared" si="1"/>
        <v>563.44126000000006</v>
      </c>
    </row>
    <row r="128" spans="1:6" hidden="1">
      <c r="A128" t="s">
        <v>32</v>
      </c>
      <c r="B128" t="s">
        <v>22</v>
      </c>
      <c r="C128" s="2">
        <v>46204</v>
      </c>
      <c r="D128" t="s">
        <v>46</v>
      </c>
      <c r="E128">
        <v>488669.47</v>
      </c>
      <c r="F128" s="3">
        <f t="shared" si="1"/>
        <v>488.66946999999999</v>
      </c>
    </row>
    <row r="129" spans="1:6" hidden="1">
      <c r="A129" t="s">
        <v>32</v>
      </c>
      <c r="B129" t="s">
        <v>22</v>
      </c>
      <c r="C129" s="2">
        <v>46204</v>
      </c>
      <c r="D129" t="s">
        <v>45</v>
      </c>
      <c r="E129">
        <v>398019.25</v>
      </c>
      <c r="F129" s="3">
        <f t="shared" si="1"/>
        <v>398.01925</v>
      </c>
    </row>
    <row r="130" spans="1:6" hidden="1">
      <c r="A130" t="s">
        <v>32</v>
      </c>
      <c r="B130" t="s">
        <v>22</v>
      </c>
      <c r="C130" s="2">
        <v>46204</v>
      </c>
      <c r="D130" t="s">
        <v>47</v>
      </c>
      <c r="E130">
        <v>121393.21</v>
      </c>
      <c r="F130" s="3">
        <f t="shared" si="1"/>
        <v>121.39321000000001</v>
      </c>
    </row>
    <row r="131" spans="1:6" hidden="1">
      <c r="A131" t="s">
        <v>32</v>
      </c>
      <c r="B131" t="s">
        <v>22</v>
      </c>
      <c r="C131" s="2">
        <v>46234</v>
      </c>
      <c r="D131" t="s">
        <v>48</v>
      </c>
      <c r="E131">
        <v>73333.45</v>
      </c>
      <c r="F131" s="3">
        <f t="shared" ref="F131:F194" si="2">E131/1000</f>
        <v>73.333449999999999</v>
      </c>
    </row>
    <row r="132" spans="1:6" hidden="1">
      <c r="A132" t="s">
        <v>32</v>
      </c>
      <c r="B132" t="s">
        <v>22</v>
      </c>
      <c r="C132" s="2">
        <v>46223</v>
      </c>
      <c r="D132" t="s">
        <v>49</v>
      </c>
      <c r="E132">
        <v>43982.01</v>
      </c>
      <c r="F132" s="3">
        <f t="shared" si="2"/>
        <v>43.982010000000002</v>
      </c>
    </row>
    <row r="133" spans="1:6" hidden="1">
      <c r="A133" t="s">
        <v>32</v>
      </c>
      <c r="B133" t="s">
        <v>22</v>
      </c>
      <c r="C133" s="2">
        <v>46233</v>
      </c>
      <c r="D133" t="s">
        <v>50</v>
      </c>
      <c r="E133">
        <v>4117.25</v>
      </c>
      <c r="F133" s="3">
        <f t="shared" si="2"/>
        <v>4.1172500000000003</v>
      </c>
    </row>
    <row r="134" spans="1:6" hidden="1">
      <c r="A134" t="s">
        <v>32</v>
      </c>
      <c r="B134" t="s">
        <v>22</v>
      </c>
      <c r="C134" s="2">
        <v>46204</v>
      </c>
      <c r="D134" t="s">
        <v>51</v>
      </c>
      <c r="E134">
        <v>0</v>
      </c>
      <c r="F134" s="3">
        <f t="shared" si="2"/>
        <v>0</v>
      </c>
    </row>
    <row r="135" spans="1:6" hidden="1">
      <c r="A135" t="s">
        <v>32</v>
      </c>
      <c r="B135" t="s">
        <v>23</v>
      </c>
      <c r="C135" s="2">
        <v>46211</v>
      </c>
      <c r="D135" t="s">
        <v>48</v>
      </c>
      <c r="E135">
        <v>305378.52</v>
      </c>
      <c r="F135" s="3">
        <f t="shared" si="2"/>
        <v>305.37852000000004</v>
      </c>
    </row>
    <row r="136" spans="1:6" hidden="1">
      <c r="A136" t="s">
        <v>32</v>
      </c>
      <c r="B136" t="s">
        <v>23</v>
      </c>
      <c r="C136" s="2">
        <v>46210</v>
      </c>
      <c r="D136" t="s">
        <v>45</v>
      </c>
      <c r="E136">
        <v>146534.01999999999</v>
      </c>
      <c r="F136" s="3">
        <f t="shared" si="2"/>
        <v>146.53402</v>
      </c>
    </row>
    <row r="137" spans="1:6" hidden="1">
      <c r="A137" t="s">
        <v>32</v>
      </c>
      <c r="B137" t="s">
        <v>23</v>
      </c>
      <c r="C137" s="2">
        <v>46210</v>
      </c>
      <c r="D137" t="s">
        <v>43</v>
      </c>
      <c r="E137">
        <v>93597.57</v>
      </c>
      <c r="F137" s="3">
        <f t="shared" si="2"/>
        <v>93.597570000000005</v>
      </c>
    </row>
    <row r="138" spans="1:6" hidden="1">
      <c r="A138" t="s">
        <v>32</v>
      </c>
      <c r="B138" t="s">
        <v>23</v>
      </c>
      <c r="C138" s="2">
        <v>46204</v>
      </c>
      <c r="D138" t="s">
        <v>44</v>
      </c>
      <c r="E138">
        <v>78251.53</v>
      </c>
      <c r="F138" s="3">
        <f t="shared" si="2"/>
        <v>78.251530000000002</v>
      </c>
    </row>
    <row r="139" spans="1:6" hidden="1">
      <c r="A139" t="s">
        <v>32</v>
      </c>
      <c r="B139" t="s">
        <v>23</v>
      </c>
      <c r="C139" s="2">
        <v>46234</v>
      </c>
      <c r="D139" t="s">
        <v>49</v>
      </c>
      <c r="E139">
        <v>30419.83</v>
      </c>
      <c r="F139" s="3">
        <f t="shared" si="2"/>
        <v>30.419830000000001</v>
      </c>
    </row>
    <row r="140" spans="1:6" hidden="1">
      <c r="A140" t="s">
        <v>32</v>
      </c>
      <c r="B140" t="s">
        <v>23</v>
      </c>
      <c r="C140" s="2">
        <v>46204</v>
      </c>
      <c r="D140" t="s">
        <v>47</v>
      </c>
      <c r="E140">
        <v>19352.41</v>
      </c>
      <c r="F140" s="3">
        <f t="shared" si="2"/>
        <v>19.352409999999999</v>
      </c>
    </row>
    <row r="141" spans="1:6" hidden="1">
      <c r="A141" t="s">
        <v>32</v>
      </c>
      <c r="B141" t="s">
        <v>23</v>
      </c>
      <c r="C141" s="2">
        <v>46204</v>
      </c>
      <c r="D141" t="s">
        <v>46</v>
      </c>
      <c r="E141">
        <v>17231.68</v>
      </c>
      <c r="F141" s="3">
        <f t="shared" si="2"/>
        <v>17.231680000000001</v>
      </c>
    </row>
    <row r="142" spans="1:6" hidden="1">
      <c r="A142" t="s">
        <v>32</v>
      </c>
      <c r="B142" t="s">
        <v>23</v>
      </c>
      <c r="C142" s="2">
        <v>46234</v>
      </c>
      <c r="D142" t="s">
        <v>50</v>
      </c>
      <c r="E142">
        <v>3155.57</v>
      </c>
      <c r="F142" s="3">
        <f t="shared" si="2"/>
        <v>3.15557</v>
      </c>
    </row>
    <row r="143" spans="1:6" hidden="1">
      <c r="A143" t="s">
        <v>32</v>
      </c>
      <c r="B143" t="s">
        <v>23</v>
      </c>
      <c r="C143" s="2">
        <v>46204</v>
      </c>
      <c r="D143" t="s">
        <v>51</v>
      </c>
      <c r="E143">
        <v>0</v>
      </c>
      <c r="F143" s="3">
        <f t="shared" si="2"/>
        <v>0</v>
      </c>
    </row>
    <row r="144" spans="1:6" hidden="1">
      <c r="A144" t="s">
        <v>32</v>
      </c>
      <c r="B144" t="s">
        <v>24</v>
      </c>
      <c r="C144" s="2">
        <v>46225</v>
      </c>
      <c r="D144" t="s">
        <v>48</v>
      </c>
      <c r="E144">
        <v>754730.75</v>
      </c>
      <c r="F144" s="3">
        <f t="shared" si="2"/>
        <v>754.73074999999994</v>
      </c>
    </row>
    <row r="145" spans="1:6" hidden="1">
      <c r="A145" t="s">
        <v>32</v>
      </c>
      <c r="B145" t="s">
        <v>24</v>
      </c>
      <c r="C145" s="2">
        <v>46204</v>
      </c>
      <c r="D145" t="s">
        <v>43</v>
      </c>
      <c r="E145">
        <v>622268.93000000005</v>
      </c>
      <c r="F145" s="3">
        <f t="shared" si="2"/>
        <v>622.26893000000007</v>
      </c>
    </row>
    <row r="146" spans="1:6" hidden="1">
      <c r="A146" t="s">
        <v>32</v>
      </c>
      <c r="B146" t="s">
        <v>24</v>
      </c>
      <c r="C146" s="2">
        <v>46204</v>
      </c>
      <c r="D146" t="s">
        <v>44</v>
      </c>
      <c r="E146">
        <v>596911.4</v>
      </c>
      <c r="F146" s="3">
        <f t="shared" si="2"/>
        <v>596.91140000000007</v>
      </c>
    </row>
    <row r="147" spans="1:6" hidden="1">
      <c r="A147" t="s">
        <v>32</v>
      </c>
      <c r="B147" t="s">
        <v>24</v>
      </c>
      <c r="C147" s="2">
        <v>46204</v>
      </c>
      <c r="D147" t="s">
        <v>45</v>
      </c>
      <c r="E147">
        <v>442618.77</v>
      </c>
      <c r="F147" s="3">
        <f t="shared" si="2"/>
        <v>442.61877000000004</v>
      </c>
    </row>
    <row r="148" spans="1:6" hidden="1">
      <c r="A148" t="s">
        <v>32</v>
      </c>
      <c r="B148" t="s">
        <v>24</v>
      </c>
      <c r="C148" s="2">
        <v>46204</v>
      </c>
      <c r="D148" t="s">
        <v>47</v>
      </c>
      <c r="E148">
        <v>140580.04</v>
      </c>
      <c r="F148" s="3">
        <f t="shared" si="2"/>
        <v>140.58004</v>
      </c>
    </row>
    <row r="149" spans="1:6" hidden="1">
      <c r="A149" t="s">
        <v>32</v>
      </c>
      <c r="B149" t="s">
        <v>24</v>
      </c>
      <c r="C149" s="2">
        <v>46204</v>
      </c>
      <c r="D149" t="s">
        <v>46</v>
      </c>
      <c r="E149">
        <v>130851.86</v>
      </c>
      <c r="F149" s="3">
        <f t="shared" si="2"/>
        <v>130.85185999999999</v>
      </c>
    </row>
    <row r="150" spans="1:6" hidden="1">
      <c r="A150" t="s">
        <v>32</v>
      </c>
      <c r="B150" t="s">
        <v>24</v>
      </c>
      <c r="C150" s="2">
        <v>46204</v>
      </c>
      <c r="D150" t="s">
        <v>49</v>
      </c>
      <c r="E150">
        <v>88943.44</v>
      </c>
      <c r="F150" s="3">
        <f t="shared" si="2"/>
        <v>88.943439999999995</v>
      </c>
    </row>
    <row r="151" spans="1:6" hidden="1">
      <c r="A151" t="s">
        <v>32</v>
      </c>
      <c r="B151" t="s">
        <v>24</v>
      </c>
      <c r="C151" s="2">
        <v>46233</v>
      </c>
      <c r="D151" t="s">
        <v>50</v>
      </c>
      <c r="E151">
        <v>7555.32</v>
      </c>
      <c r="F151" s="3">
        <f t="shared" si="2"/>
        <v>7.55532</v>
      </c>
    </row>
    <row r="152" spans="1:6" hidden="1">
      <c r="A152" t="s">
        <v>32</v>
      </c>
      <c r="B152" t="s">
        <v>24</v>
      </c>
      <c r="C152" s="2">
        <v>46204</v>
      </c>
      <c r="D152" t="s">
        <v>51</v>
      </c>
      <c r="E152">
        <v>0</v>
      </c>
      <c r="F152" s="3">
        <f t="shared" si="2"/>
        <v>0</v>
      </c>
    </row>
    <row r="153" spans="1:6" hidden="1">
      <c r="A153" t="s">
        <v>32</v>
      </c>
      <c r="B153" t="s">
        <v>25</v>
      </c>
      <c r="C153" s="2">
        <v>46204</v>
      </c>
      <c r="D153" t="s">
        <v>44</v>
      </c>
      <c r="E153">
        <v>134008.15</v>
      </c>
      <c r="F153" s="3">
        <f t="shared" si="2"/>
        <v>134.00815</v>
      </c>
    </row>
    <row r="154" spans="1:6" hidden="1">
      <c r="A154" t="s">
        <v>32</v>
      </c>
      <c r="B154" t="s">
        <v>25</v>
      </c>
      <c r="C154" s="2">
        <v>46204</v>
      </c>
      <c r="D154" t="s">
        <v>46</v>
      </c>
      <c r="E154">
        <v>120082.26</v>
      </c>
      <c r="F154" s="3">
        <f t="shared" si="2"/>
        <v>120.08225999999999</v>
      </c>
    </row>
    <row r="155" spans="1:6" hidden="1">
      <c r="A155" t="s">
        <v>32</v>
      </c>
      <c r="B155" t="s">
        <v>25</v>
      </c>
      <c r="C155" s="2">
        <v>46204</v>
      </c>
      <c r="D155" t="s">
        <v>43</v>
      </c>
      <c r="E155">
        <v>98130.45</v>
      </c>
      <c r="F155" s="3">
        <f t="shared" si="2"/>
        <v>98.130449999999996</v>
      </c>
    </row>
    <row r="156" spans="1:6" hidden="1">
      <c r="A156" t="s">
        <v>32</v>
      </c>
      <c r="B156" t="s">
        <v>25</v>
      </c>
      <c r="C156" s="2">
        <v>46208</v>
      </c>
      <c r="D156" t="s">
        <v>45</v>
      </c>
      <c r="E156">
        <v>71339.350000000006</v>
      </c>
      <c r="F156" s="3">
        <f t="shared" si="2"/>
        <v>71.33935000000001</v>
      </c>
    </row>
    <row r="157" spans="1:6" hidden="1">
      <c r="A157" t="s">
        <v>32</v>
      </c>
      <c r="B157" t="s">
        <v>25</v>
      </c>
      <c r="C157" s="2">
        <v>46204</v>
      </c>
      <c r="D157" t="s">
        <v>47</v>
      </c>
      <c r="E157">
        <v>49745.48</v>
      </c>
      <c r="F157" s="3">
        <f t="shared" si="2"/>
        <v>49.745480000000001</v>
      </c>
    </row>
    <row r="158" spans="1:6" hidden="1">
      <c r="A158" t="s">
        <v>32</v>
      </c>
      <c r="B158" t="s">
        <v>25</v>
      </c>
      <c r="C158" s="2">
        <v>46228</v>
      </c>
      <c r="D158" t="s">
        <v>48</v>
      </c>
      <c r="E158">
        <v>41469.43</v>
      </c>
      <c r="F158" s="3">
        <f t="shared" si="2"/>
        <v>41.469430000000003</v>
      </c>
    </row>
    <row r="159" spans="1:6" hidden="1">
      <c r="A159" t="s">
        <v>32</v>
      </c>
      <c r="B159" t="s">
        <v>25</v>
      </c>
      <c r="C159" s="2">
        <v>46204</v>
      </c>
      <c r="D159" t="s">
        <v>49</v>
      </c>
      <c r="E159">
        <v>11551.54</v>
      </c>
      <c r="F159" s="3">
        <f t="shared" si="2"/>
        <v>11.551540000000001</v>
      </c>
    </row>
    <row r="160" spans="1:6" hidden="1">
      <c r="A160" t="s">
        <v>32</v>
      </c>
      <c r="B160" t="s">
        <v>25</v>
      </c>
      <c r="C160" s="2">
        <v>46204</v>
      </c>
      <c r="D160" t="s">
        <v>51</v>
      </c>
      <c r="E160">
        <v>0</v>
      </c>
      <c r="F160" s="3">
        <f t="shared" si="2"/>
        <v>0</v>
      </c>
    </row>
    <row r="161" spans="1:6" hidden="1">
      <c r="A161" t="s">
        <v>32</v>
      </c>
      <c r="B161" t="s">
        <v>25</v>
      </c>
      <c r="C161" s="2">
        <v>46204</v>
      </c>
      <c r="D161" t="s">
        <v>50</v>
      </c>
      <c r="E161">
        <v>0</v>
      </c>
      <c r="F161" s="3">
        <f t="shared" si="2"/>
        <v>0</v>
      </c>
    </row>
    <row r="162" spans="1:6" hidden="1">
      <c r="A162" t="s">
        <v>32</v>
      </c>
      <c r="B162" t="s">
        <v>26</v>
      </c>
      <c r="C162" s="2">
        <v>46210</v>
      </c>
      <c r="D162" t="s">
        <v>45</v>
      </c>
      <c r="E162">
        <v>482283.22</v>
      </c>
      <c r="F162" s="3">
        <f t="shared" si="2"/>
        <v>482.28321999999997</v>
      </c>
    </row>
    <row r="163" spans="1:6" hidden="1">
      <c r="A163" t="s">
        <v>32</v>
      </c>
      <c r="B163" t="s">
        <v>26</v>
      </c>
      <c r="C163" s="2">
        <v>46204</v>
      </c>
      <c r="D163" t="s">
        <v>43</v>
      </c>
      <c r="E163">
        <v>446590.04</v>
      </c>
      <c r="F163" s="3">
        <f t="shared" si="2"/>
        <v>446.59003999999999</v>
      </c>
    </row>
    <row r="164" spans="1:6" hidden="1">
      <c r="A164" t="s">
        <v>32</v>
      </c>
      <c r="B164" t="s">
        <v>26</v>
      </c>
      <c r="C164" s="2">
        <v>46204</v>
      </c>
      <c r="D164" t="s">
        <v>44</v>
      </c>
      <c r="E164">
        <v>249046.48</v>
      </c>
      <c r="F164" s="3">
        <f t="shared" si="2"/>
        <v>249.04648</v>
      </c>
    </row>
    <row r="165" spans="1:6" hidden="1">
      <c r="A165" t="s">
        <v>32</v>
      </c>
      <c r="B165" t="s">
        <v>26</v>
      </c>
      <c r="C165" s="2">
        <v>46204</v>
      </c>
      <c r="D165" t="s">
        <v>46</v>
      </c>
      <c r="E165">
        <v>188897.29</v>
      </c>
      <c r="F165" s="3">
        <f t="shared" si="2"/>
        <v>188.89729</v>
      </c>
    </row>
    <row r="166" spans="1:6" hidden="1">
      <c r="A166" t="s">
        <v>32</v>
      </c>
      <c r="B166" t="s">
        <v>26</v>
      </c>
      <c r="C166" s="2">
        <v>46204</v>
      </c>
      <c r="D166" t="s">
        <v>47</v>
      </c>
      <c r="E166">
        <v>112118.93</v>
      </c>
      <c r="F166" s="3">
        <f t="shared" si="2"/>
        <v>112.11892999999999</v>
      </c>
    </row>
    <row r="167" spans="1:6" hidden="1">
      <c r="A167" t="s">
        <v>32</v>
      </c>
      <c r="B167" t="s">
        <v>26</v>
      </c>
      <c r="C167" s="2">
        <v>46233</v>
      </c>
      <c r="D167" t="s">
        <v>48</v>
      </c>
      <c r="E167">
        <v>70507.33</v>
      </c>
      <c r="F167" s="3">
        <f t="shared" si="2"/>
        <v>70.507329999999996</v>
      </c>
    </row>
    <row r="168" spans="1:6" hidden="1">
      <c r="A168" t="s">
        <v>32</v>
      </c>
      <c r="B168" t="s">
        <v>26</v>
      </c>
      <c r="C168" s="2">
        <v>46234</v>
      </c>
      <c r="D168" t="s">
        <v>49</v>
      </c>
      <c r="E168">
        <v>56044.63</v>
      </c>
      <c r="F168" s="3">
        <f t="shared" si="2"/>
        <v>56.044629999999998</v>
      </c>
    </row>
    <row r="169" spans="1:6" hidden="1">
      <c r="A169" t="s">
        <v>32</v>
      </c>
      <c r="B169" t="s">
        <v>26</v>
      </c>
      <c r="C169" s="2">
        <v>46233</v>
      </c>
      <c r="D169" t="s">
        <v>50</v>
      </c>
      <c r="E169">
        <v>1947.69</v>
      </c>
      <c r="F169" s="3">
        <f t="shared" si="2"/>
        <v>1.9476900000000001</v>
      </c>
    </row>
    <row r="170" spans="1:6" hidden="1">
      <c r="A170" t="s">
        <v>32</v>
      </c>
      <c r="B170" t="s">
        <v>26</v>
      </c>
      <c r="C170" s="2">
        <v>46204</v>
      </c>
      <c r="D170" t="s">
        <v>51</v>
      </c>
      <c r="E170">
        <v>0</v>
      </c>
      <c r="F170" s="3">
        <f t="shared" si="2"/>
        <v>0</v>
      </c>
    </row>
    <row r="171" spans="1:6" hidden="1">
      <c r="A171" t="s">
        <v>32</v>
      </c>
      <c r="B171" t="s">
        <v>27</v>
      </c>
      <c r="C171" s="2">
        <v>46204</v>
      </c>
      <c r="D171" t="s">
        <v>43</v>
      </c>
      <c r="E171">
        <v>413248.84</v>
      </c>
      <c r="F171" s="3">
        <f t="shared" si="2"/>
        <v>413.24884000000003</v>
      </c>
    </row>
    <row r="172" spans="1:6" hidden="1">
      <c r="A172" t="s">
        <v>32</v>
      </c>
      <c r="B172" t="s">
        <v>27</v>
      </c>
      <c r="C172" s="2">
        <v>46207</v>
      </c>
      <c r="D172" t="s">
        <v>45</v>
      </c>
      <c r="E172">
        <v>327260.09000000003</v>
      </c>
      <c r="F172" s="3">
        <f t="shared" si="2"/>
        <v>327.26009000000005</v>
      </c>
    </row>
    <row r="173" spans="1:6" hidden="1">
      <c r="A173" t="s">
        <v>32</v>
      </c>
      <c r="B173" t="s">
        <v>27</v>
      </c>
      <c r="C173" s="2">
        <v>46204</v>
      </c>
      <c r="D173" t="s">
        <v>44</v>
      </c>
      <c r="E173">
        <v>236087.81</v>
      </c>
      <c r="F173" s="3">
        <f t="shared" si="2"/>
        <v>236.08780999999999</v>
      </c>
    </row>
    <row r="174" spans="1:6" hidden="1">
      <c r="A174" t="s">
        <v>32</v>
      </c>
      <c r="B174" t="s">
        <v>27</v>
      </c>
      <c r="C174" s="2">
        <v>46204</v>
      </c>
      <c r="D174" t="s">
        <v>46</v>
      </c>
      <c r="E174">
        <v>180505.98</v>
      </c>
      <c r="F174" s="3">
        <f t="shared" si="2"/>
        <v>180.50598000000002</v>
      </c>
    </row>
    <row r="175" spans="1:6" hidden="1">
      <c r="A175" t="s">
        <v>32</v>
      </c>
      <c r="B175" t="s">
        <v>27</v>
      </c>
      <c r="C175" s="2">
        <v>46204</v>
      </c>
      <c r="D175" t="s">
        <v>47</v>
      </c>
      <c r="E175">
        <v>106622.47</v>
      </c>
      <c r="F175" s="3">
        <f t="shared" si="2"/>
        <v>106.62247000000001</v>
      </c>
    </row>
    <row r="176" spans="1:6" hidden="1">
      <c r="A176" t="s">
        <v>32</v>
      </c>
      <c r="B176" t="s">
        <v>27</v>
      </c>
      <c r="C176" s="2">
        <v>46234</v>
      </c>
      <c r="D176" t="s">
        <v>48</v>
      </c>
      <c r="E176">
        <v>46706.09</v>
      </c>
      <c r="F176" s="3">
        <f t="shared" si="2"/>
        <v>46.706089999999996</v>
      </c>
    </row>
    <row r="177" spans="1:6" hidden="1">
      <c r="A177" t="s">
        <v>32</v>
      </c>
      <c r="B177" t="s">
        <v>27</v>
      </c>
      <c r="C177" s="2">
        <v>46204</v>
      </c>
      <c r="D177" t="s">
        <v>49</v>
      </c>
      <c r="E177">
        <v>43546.65</v>
      </c>
      <c r="F177" s="3">
        <f t="shared" si="2"/>
        <v>43.54665</v>
      </c>
    </row>
    <row r="178" spans="1:6" hidden="1">
      <c r="A178" t="s">
        <v>32</v>
      </c>
      <c r="B178" t="s">
        <v>27</v>
      </c>
      <c r="C178" s="2">
        <v>46234</v>
      </c>
      <c r="D178" t="s">
        <v>50</v>
      </c>
      <c r="E178">
        <v>1449.45</v>
      </c>
      <c r="F178" s="3">
        <f t="shared" si="2"/>
        <v>1.4494500000000001</v>
      </c>
    </row>
    <row r="179" spans="1:6" hidden="1">
      <c r="A179" t="s">
        <v>32</v>
      </c>
      <c r="B179" t="s">
        <v>27</v>
      </c>
      <c r="C179" s="2">
        <v>46204</v>
      </c>
      <c r="D179" t="s">
        <v>51</v>
      </c>
      <c r="E179">
        <v>0</v>
      </c>
      <c r="F179" s="3">
        <f t="shared" si="2"/>
        <v>0</v>
      </c>
    </row>
    <row r="180" spans="1:6" hidden="1">
      <c r="A180" t="s">
        <v>32</v>
      </c>
      <c r="B180" t="s">
        <v>28</v>
      </c>
      <c r="C180" s="2">
        <v>46204</v>
      </c>
      <c r="D180" t="s">
        <v>44</v>
      </c>
      <c r="E180">
        <v>473487.8</v>
      </c>
      <c r="F180" s="3">
        <f t="shared" si="2"/>
        <v>473.48779999999999</v>
      </c>
    </row>
    <row r="181" spans="1:6" hidden="1">
      <c r="A181" t="s">
        <v>32</v>
      </c>
      <c r="B181" t="s">
        <v>28</v>
      </c>
      <c r="C181" s="2">
        <v>46204</v>
      </c>
      <c r="D181" t="s">
        <v>46</v>
      </c>
      <c r="E181">
        <v>278860.93</v>
      </c>
      <c r="F181" s="3">
        <f t="shared" si="2"/>
        <v>278.86093</v>
      </c>
    </row>
    <row r="182" spans="1:6" hidden="1">
      <c r="A182" t="s">
        <v>32</v>
      </c>
      <c r="B182" t="s">
        <v>28</v>
      </c>
      <c r="C182" s="2">
        <v>46204</v>
      </c>
      <c r="D182" t="s">
        <v>43</v>
      </c>
      <c r="E182">
        <v>207436.49</v>
      </c>
      <c r="F182" s="3">
        <f t="shared" si="2"/>
        <v>207.43648999999999</v>
      </c>
    </row>
    <row r="183" spans="1:6" hidden="1">
      <c r="A183" t="s">
        <v>32</v>
      </c>
      <c r="B183" t="s">
        <v>28</v>
      </c>
      <c r="C183" s="2">
        <v>46213</v>
      </c>
      <c r="D183" t="s">
        <v>45</v>
      </c>
      <c r="E183">
        <v>117603.26</v>
      </c>
      <c r="F183" s="3">
        <f t="shared" si="2"/>
        <v>117.60325999999999</v>
      </c>
    </row>
    <row r="184" spans="1:6" hidden="1">
      <c r="A184" t="s">
        <v>32</v>
      </c>
      <c r="B184" t="s">
        <v>28</v>
      </c>
      <c r="C184" s="2">
        <v>46234</v>
      </c>
      <c r="D184" t="s">
        <v>48</v>
      </c>
      <c r="E184">
        <v>74464.22</v>
      </c>
      <c r="F184" s="3">
        <f t="shared" si="2"/>
        <v>74.464219999999997</v>
      </c>
    </row>
    <row r="185" spans="1:6" hidden="1">
      <c r="A185" t="s">
        <v>32</v>
      </c>
      <c r="B185" t="s">
        <v>28</v>
      </c>
      <c r="C185" s="2">
        <v>46204</v>
      </c>
      <c r="D185" t="s">
        <v>47</v>
      </c>
      <c r="E185">
        <v>50641.52</v>
      </c>
      <c r="F185" s="3">
        <f t="shared" si="2"/>
        <v>50.64152</v>
      </c>
    </row>
    <row r="186" spans="1:6" hidden="1">
      <c r="A186" t="s">
        <v>32</v>
      </c>
      <c r="B186" t="s">
        <v>28</v>
      </c>
      <c r="C186" s="2">
        <v>46204</v>
      </c>
      <c r="D186" t="s">
        <v>49</v>
      </c>
      <c r="E186">
        <v>22612.94</v>
      </c>
      <c r="F186" s="3">
        <f t="shared" si="2"/>
        <v>22.612939999999998</v>
      </c>
    </row>
    <row r="187" spans="1:6" hidden="1">
      <c r="A187" t="s">
        <v>32</v>
      </c>
      <c r="B187" t="s">
        <v>28</v>
      </c>
      <c r="C187" s="2">
        <v>46234</v>
      </c>
      <c r="D187" t="s">
        <v>50</v>
      </c>
      <c r="E187">
        <v>1497.14</v>
      </c>
      <c r="F187" s="3">
        <f t="shared" si="2"/>
        <v>1.4971400000000001</v>
      </c>
    </row>
    <row r="188" spans="1:6" hidden="1">
      <c r="A188" t="s">
        <v>32</v>
      </c>
      <c r="B188" t="s">
        <v>28</v>
      </c>
      <c r="C188" s="2">
        <v>46204</v>
      </c>
      <c r="D188" t="s">
        <v>51</v>
      </c>
      <c r="E188">
        <v>0</v>
      </c>
      <c r="F188" s="3">
        <f t="shared" si="2"/>
        <v>0</v>
      </c>
    </row>
    <row r="189" spans="1:6" hidden="1">
      <c r="A189" t="s">
        <v>32</v>
      </c>
      <c r="B189" t="s">
        <v>29</v>
      </c>
      <c r="C189" s="2">
        <v>46205</v>
      </c>
      <c r="D189" t="s">
        <v>45</v>
      </c>
      <c r="E189">
        <v>586414.31999999995</v>
      </c>
      <c r="F189" s="3">
        <f t="shared" si="2"/>
        <v>586.41431999999998</v>
      </c>
    </row>
    <row r="190" spans="1:6" hidden="1">
      <c r="A190" t="s">
        <v>32</v>
      </c>
      <c r="B190" t="s">
        <v>29</v>
      </c>
      <c r="C190" s="2">
        <v>46204</v>
      </c>
      <c r="D190" t="s">
        <v>44</v>
      </c>
      <c r="E190">
        <v>487879.4</v>
      </c>
      <c r="F190" s="3">
        <f t="shared" si="2"/>
        <v>487.87940000000003</v>
      </c>
    </row>
    <row r="191" spans="1:6" hidden="1">
      <c r="A191" t="s">
        <v>32</v>
      </c>
      <c r="B191" t="s">
        <v>29</v>
      </c>
      <c r="C191" s="2">
        <v>46204</v>
      </c>
      <c r="D191" t="s">
        <v>43</v>
      </c>
      <c r="E191">
        <v>445142.84</v>
      </c>
      <c r="F191" s="3">
        <f t="shared" si="2"/>
        <v>445.14284000000004</v>
      </c>
    </row>
    <row r="192" spans="1:6" hidden="1">
      <c r="A192" t="s">
        <v>32</v>
      </c>
      <c r="B192" t="s">
        <v>29</v>
      </c>
      <c r="C192" s="2">
        <v>46204</v>
      </c>
      <c r="D192" t="s">
        <v>46</v>
      </c>
      <c r="E192">
        <v>301990.15999999997</v>
      </c>
      <c r="F192" s="3">
        <f t="shared" si="2"/>
        <v>301.99015999999995</v>
      </c>
    </row>
    <row r="193" spans="1:6" hidden="1">
      <c r="A193" t="s">
        <v>32</v>
      </c>
      <c r="B193" t="s">
        <v>29</v>
      </c>
      <c r="C193" s="2">
        <v>46228</v>
      </c>
      <c r="D193" t="s">
        <v>48</v>
      </c>
      <c r="E193">
        <v>124860.65</v>
      </c>
      <c r="F193" s="3">
        <f t="shared" si="2"/>
        <v>124.86064999999999</v>
      </c>
    </row>
    <row r="194" spans="1:6" hidden="1">
      <c r="A194" t="s">
        <v>32</v>
      </c>
      <c r="B194" t="s">
        <v>29</v>
      </c>
      <c r="C194" s="2">
        <v>46204</v>
      </c>
      <c r="D194" t="s">
        <v>47</v>
      </c>
      <c r="E194">
        <v>71378.02</v>
      </c>
      <c r="F194" s="3">
        <f t="shared" si="2"/>
        <v>71.378020000000006</v>
      </c>
    </row>
    <row r="195" spans="1:6" hidden="1">
      <c r="A195" t="s">
        <v>32</v>
      </c>
      <c r="B195" t="s">
        <v>29</v>
      </c>
      <c r="C195" s="2">
        <v>46212</v>
      </c>
      <c r="D195" t="s">
        <v>49</v>
      </c>
      <c r="E195">
        <v>50453.13</v>
      </c>
      <c r="F195" s="3">
        <f t="shared" ref="F195:F258" si="3">E195/1000</f>
        <v>50.453129999999994</v>
      </c>
    </row>
    <row r="196" spans="1:6" hidden="1">
      <c r="A196" t="s">
        <v>32</v>
      </c>
      <c r="B196" t="s">
        <v>29</v>
      </c>
      <c r="C196" s="2">
        <v>46227</v>
      </c>
      <c r="D196" t="s">
        <v>50</v>
      </c>
      <c r="E196">
        <v>4250.37</v>
      </c>
      <c r="F196" s="3">
        <f t="shared" si="3"/>
        <v>4.2503700000000002</v>
      </c>
    </row>
    <row r="197" spans="1:6" hidden="1">
      <c r="A197" t="s">
        <v>32</v>
      </c>
      <c r="B197" t="s">
        <v>29</v>
      </c>
      <c r="C197" s="2">
        <v>46204</v>
      </c>
      <c r="D197" t="s">
        <v>51</v>
      </c>
      <c r="E197">
        <v>0</v>
      </c>
      <c r="F197" s="3">
        <f t="shared" si="3"/>
        <v>0</v>
      </c>
    </row>
    <row r="198" spans="1:6" hidden="1">
      <c r="A198" t="s">
        <v>32</v>
      </c>
      <c r="B198" t="s">
        <v>30</v>
      </c>
      <c r="C198" s="2">
        <v>46205</v>
      </c>
      <c r="D198" t="s">
        <v>45</v>
      </c>
      <c r="E198">
        <v>392658.6</v>
      </c>
      <c r="F198" s="3">
        <f t="shared" si="3"/>
        <v>392.65859999999998</v>
      </c>
    </row>
    <row r="199" spans="1:6" hidden="1">
      <c r="A199" t="s">
        <v>32</v>
      </c>
      <c r="B199" t="s">
        <v>30</v>
      </c>
      <c r="C199" s="2">
        <v>46205</v>
      </c>
      <c r="D199" t="s">
        <v>43</v>
      </c>
      <c r="E199">
        <v>279120.46000000002</v>
      </c>
      <c r="F199" s="3">
        <f t="shared" si="3"/>
        <v>279.12046000000004</v>
      </c>
    </row>
    <row r="200" spans="1:6" hidden="1">
      <c r="A200" t="s">
        <v>32</v>
      </c>
      <c r="B200" t="s">
        <v>30</v>
      </c>
      <c r="C200" s="2">
        <v>46204</v>
      </c>
      <c r="D200" t="s">
        <v>44</v>
      </c>
      <c r="E200">
        <v>277694.84000000003</v>
      </c>
      <c r="F200" s="3">
        <f t="shared" si="3"/>
        <v>277.69484</v>
      </c>
    </row>
    <row r="201" spans="1:6" hidden="1">
      <c r="A201" t="s">
        <v>32</v>
      </c>
      <c r="B201" t="s">
        <v>30</v>
      </c>
      <c r="C201" s="2">
        <v>46204</v>
      </c>
      <c r="D201" t="s">
        <v>46</v>
      </c>
      <c r="E201">
        <v>172754.92</v>
      </c>
      <c r="F201" s="3">
        <f t="shared" si="3"/>
        <v>172.75492000000003</v>
      </c>
    </row>
    <row r="202" spans="1:6" hidden="1">
      <c r="A202" t="s">
        <v>32</v>
      </c>
      <c r="B202" t="s">
        <v>30</v>
      </c>
      <c r="C202" s="2">
        <v>46229</v>
      </c>
      <c r="D202" t="s">
        <v>48</v>
      </c>
      <c r="E202">
        <v>85687.3</v>
      </c>
      <c r="F202" s="3">
        <f t="shared" si="3"/>
        <v>85.687300000000008</v>
      </c>
    </row>
    <row r="203" spans="1:6" hidden="1">
      <c r="A203" t="s">
        <v>32</v>
      </c>
      <c r="B203" t="s">
        <v>30</v>
      </c>
      <c r="C203" s="2">
        <v>46204</v>
      </c>
      <c r="D203" t="s">
        <v>47</v>
      </c>
      <c r="E203">
        <v>40393.46</v>
      </c>
      <c r="F203" s="3">
        <f t="shared" si="3"/>
        <v>40.393459999999997</v>
      </c>
    </row>
    <row r="204" spans="1:6" hidden="1">
      <c r="A204" t="s">
        <v>32</v>
      </c>
      <c r="B204" t="s">
        <v>30</v>
      </c>
      <c r="C204" s="2">
        <v>46232</v>
      </c>
      <c r="D204" t="s">
        <v>49</v>
      </c>
      <c r="E204">
        <v>34583.85</v>
      </c>
      <c r="F204" s="3">
        <f t="shared" si="3"/>
        <v>34.583849999999998</v>
      </c>
    </row>
    <row r="205" spans="1:6" hidden="1">
      <c r="A205" t="s">
        <v>32</v>
      </c>
      <c r="B205" t="s">
        <v>30</v>
      </c>
      <c r="C205" s="2">
        <v>46229</v>
      </c>
      <c r="D205" t="s">
        <v>50</v>
      </c>
      <c r="E205">
        <v>2813.06</v>
      </c>
      <c r="F205" s="3">
        <f t="shared" si="3"/>
        <v>2.8130600000000001</v>
      </c>
    </row>
    <row r="206" spans="1:6" hidden="1">
      <c r="A206" t="s">
        <v>32</v>
      </c>
      <c r="B206" t="s">
        <v>30</v>
      </c>
      <c r="C206" s="2">
        <v>46204</v>
      </c>
      <c r="D206" t="s">
        <v>51</v>
      </c>
      <c r="E206">
        <v>0</v>
      </c>
      <c r="F206" s="3">
        <f t="shared" si="3"/>
        <v>0</v>
      </c>
    </row>
    <row r="207" spans="1:6" hidden="1">
      <c r="A207" t="s">
        <v>32</v>
      </c>
      <c r="B207" t="s">
        <v>31</v>
      </c>
      <c r="C207" s="2">
        <v>46205</v>
      </c>
      <c r="D207" t="s">
        <v>45</v>
      </c>
      <c r="E207">
        <v>495737.36</v>
      </c>
      <c r="F207" s="3">
        <f t="shared" si="3"/>
        <v>495.73735999999997</v>
      </c>
    </row>
    <row r="208" spans="1:6" hidden="1">
      <c r="A208" t="s">
        <v>32</v>
      </c>
      <c r="B208" t="s">
        <v>31</v>
      </c>
      <c r="C208" s="2">
        <v>46204</v>
      </c>
      <c r="D208" t="s">
        <v>44</v>
      </c>
      <c r="E208">
        <v>450088.8</v>
      </c>
      <c r="F208" s="3">
        <f t="shared" si="3"/>
        <v>450.08879999999999</v>
      </c>
    </row>
    <row r="209" spans="1:6" hidden="1">
      <c r="A209" t="s">
        <v>32</v>
      </c>
      <c r="B209" t="s">
        <v>31</v>
      </c>
      <c r="C209" s="2">
        <v>46204</v>
      </c>
      <c r="D209" t="s">
        <v>43</v>
      </c>
      <c r="E209">
        <v>412730.87</v>
      </c>
      <c r="F209" s="3">
        <f t="shared" si="3"/>
        <v>412.73086999999998</v>
      </c>
    </row>
    <row r="210" spans="1:6" hidden="1">
      <c r="A210" t="s">
        <v>32</v>
      </c>
      <c r="B210" t="s">
        <v>31</v>
      </c>
      <c r="C210" s="2">
        <v>46204</v>
      </c>
      <c r="D210" t="s">
        <v>46</v>
      </c>
      <c r="E210">
        <v>283313.58</v>
      </c>
      <c r="F210" s="3">
        <f t="shared" si="3"/>
        <v>283.31358</v>
      </c>
    </row>
    <row r="211" spans="1:6" hidden="1">
      <c r="A211" t="s">
        <v>32</v>
      </c>
      <c r="B211" t="s">
        <v>31</v>
      </c>
      <c r="C211" s="2">
        <v>46234</v>
      </c>
      <c r="D211" t="s">
        <v>48</v>
      </c>
      <c r="E211">
        <v>106229.69</v>
      </c>
      <c r="F211" s="3">
        <f t="shared" si="3"/>
        <v>106.22969000000001</v>
      </c>
    </row>
    <row r="212" spans="1:6" hidden="1">
      <c r="A212" t="s">
        <v>32</v>
      </c>
      <c r="B212" t="s">
        <v>31</v>
      </c>
      <c r="C212" s="2">
        <v>46204</v>
      </c>
      <c r="D212" t="s">
        <v>47</v>
      </c>
      <c r="E212">
        <v>66121.649999999994</v>
      </c>
      <c r="F212" s="3">
        <f t="shared" si="3"/>
        <v>66.121649999999988</v>
      </c>
    </row>
    <row r="213" spans="1:6" hidden="1">
      <c r="A213" t="s">
        <v>32</v>
      </c>
      <c r="B213" t="s">
        <v>31</v>
      </c>
      <c r="C213" s="2">
        <v>46229</v>
      </c>
      <c r="D213" t="s">
        <v>49</v>
      </c>
      <c r="E213">
        <v>42961.39</v>
      </c>
      <c r="F213" s="3">
        <f t="shared" si="3"/>
        <v>42.961390000000002</v>
      </c>
    </row>
    <row r="214" spans="1:6" hidden="1">
      <c r="A214" t="s">
        <v>32</v>
      </c>
      <c r="B214" t="s">
        <v>31</v>
      </c>
      <c r="C214" s="2">
        <v>46234</v>
      </c>
      <c r="D214" t="s">
        <v>50</v>
      </c>
      <c r="E214">
        <v>3738.3</v>
      </c>
      <c r="F214" s="3">
        <f t="shared" si="3"/>
        <v>3.7383000000000002</v>
      </c>
    </row>
    <row r="215" spans="1:6" hidden="1">
      <c r="A215" t="s">
        <v>32</v>
      </c>
      <c r="B215" t="s">
        <v>31</v>
      </c>
      <c r="C215" s="2">
        <v>46204</v>
      </c>
      <c r="D215" t="s">
        <v>51</v>
      </c>
      <c r="E215">
        <v>0</v>
      </c>
      <c r="F215" s="3">
        <f t="shared" si="3"/>
        <v>0</v>
      </c>
    </row>
    <row r="216" spans="1:6" hidden="1">
      <c r="A216" t="s">
        <v>33</v>
      </c>
      <c r="B216" t="s">
        <v>20</v>
      </c>
      <c r="C216" s="2">
        <v>46236</v>
      </c>
      <c r="D216" t="s">
        <v>43</v>
      </c>
      <c r="E216">
        <v>246435.14</v>
      </c>
      <c r="F216" s="3">
        <f t="shared" si="3"/>
        <v>246.43514000000002</v>
      </c>
    </row>
    <row r="217" spans="1:6" hidden="1">
      <c r="A217" t="s">
        <v>33</v>
      </c>
      <c r="B217" t="s">
        <v>20</v>
      </c>
      <c r="C217" s="2">
        <v>46257</v>
      </c>
      <c r="D217" t="s">
        <v>44</v>
      </c>
      <c r="E217">
        <v>228837.81</v>
      </c>
      <c r="F217" s="3">
        <f t="shared" si="3"/>
        <v>228.83780999999999</v>
      </c>
    </row>
    <row r="218" spans="1:6" hidden="1">
      <c r="A218" t="s">
        <v>33</v>
      </c>
      <c r="B218" t="s">
        <v>20</v>
      </c>
      <c r="C218" s="2">
        <v>46236</v>
      </c>
      <c r="D218" t="s">
        <v>45</v>
      </c>
      <c r="E218">
        <v>189241.85</v>
      </c>
      <c r="F218" s="3">
        <f t="shared" si="3"/>
        <v>189.24185</v>
      </c>
    </row>
    <row r="219" spans="1:6" hidden="1">
      <c r="A219" t="s">
        <v>33</v>
      </c>
      <c r="B219" t="s">
        <v>20</v>
      </c>
      <c r="C219" s="2">
        <v>46259</v>
      </c>
      <c r="D219" t="s">
        <v>46</v>
      </c>
      <c r="E219">
        <v>159000.99</v>
      </c>
      <c r="F219" s="3">
        <f t="shared" si="3"/>
        <v>159.00099</v>
      </c>
    </row>
    <row r="220" spans="1:6" hidden="1">
      <c r="A220" t="s">
        <v>33</v>
      </c>
      <c r="B220" t="s">
        <v>20</v>
      </c>
      <c r="C220" s="2">
        <v>46253</v>
      </c>
      <c r="D220" t="s">
        <v>48</v>
      </c>
      <c r="E220">
        <v>106804.4</v>
      </c>
      <c r="F220" s="3">
        <f t="shared" si="3"/>
        <v>106.8044</v>
      </c>
    </row>
    <row r="221" spans="1:6" hidden="1">
      <c r="A221" t="s">
        <v>33</v>
      </c>
      <c r="B221" t="s">
        <v>20</v>
      </c>
      <c r="C221" s="2">
        <v>46258</v>
      </c>
      <c r="D221" t="s">
        <v>49</v>
      </c>
      <c r="E221">
        <v>59797.67</v>
      </c>
      <c r="F221" s="3">
        <f t="shared" si="3"/>
        <v>59.797669999999997</v>
      </c>
    </row>
    <row r="222" spans="1:6" hidden="1">
      <c r="A222" t="s">
        <v>33</v>
      </c>
      <c r="B222" t="s">
        <v>20</v>
      </c>
      <c r="C222" s="2">
        <v>46257</v>
      </c>
      <c r="D222" t="s">
        <v>47</v>
      </c>
      <c r="E222">
        <v>40600.14</v>
      </c>
      <c r="F222" s="3">
        <f t="shared" si="3"/>
        <v>40.600139999999996</v>
      </c>
    </row>
    <row r="223" spans="1:6" hidden="1">
      <c r="A223" t="s">
        <v>33</v>
      </c>
      <c r="B223" t="s">
        <v>20</v>
      </c>
      <c r="C223" s="2">
        <v>46258</v>
      </c>
      <c r="D223" t="s">
        <v>50</v>
      </c>
      <c r="E223">
        <v>14467.96</v>
      </c>
      <c r="F223" s="3">
        <f t="shared" si="3"/>
        <v>14.46796</v>
      </c>
    </row>
    <row r="224" spans="1:6" hidden="1">
      <c r="A224" t="s">
        <v>33</v>
      </c>
      <c r="B224" t="s">
        <v>21</v>
      </c>
      <c r="C224" s="2">
        <v>46237</v>
      </c>
      <c r="D224" t="s">
        <v>43</v>
      </c>
      <c r="E224">
        <v>264097.39</v>
      </c>
      <c r="F224" s="3">
        <f t="shared" si="3"/>
        <v>264.09739000000002</v>
      </c>
    </row>
    <row r="225" spans="1:6" hidden="1">
      <c r="A225" t="s">
        <v>33</v>
      </c>
      <c r="B225" t="s">
        <v>21</v>
      </c>
      <c r="C225" s="2">
        <v>46239</v>
      </c>
      <c r="D225" t="s">
        <v>45</v>
      </c>
      <c r="E225">
        <v>210920.15</v>
      </c>
      <c r="F225" s="3">
        <f t="shared" si="3"/>
        <v>210.92015000000001</v>
      </c>
    </row>
    <row r="226" spans="1:6" hidden="1">
      <c r="A226" t="s">
        <v>33</v>
      </c>
      <c r="B226" t="s">
        <v>21</v>
      </c>
      <c r="C226" s="2">
        <v>46255</v>
      </c>
      <c r="D226" t="s">
        <v>46</v>
      </c>
      <c r="E226">
        <v>165305.38</v>
      </c>
      <c r="F226" s="3">
        <f t="shared" si="3"/>
        <v>165.30538000000001</v>
      </c>
    </row>
    <row r="227" spans="1:6" hidden="1">
      <c r="A227" t="s">
        <v>33</v>
      </c>
      <c r="B227" t="s">
        <v>21</v>
      </c>
      <c r="C227" s="2">
        <v>46264</v>
      </c>
      <c r="D227" t="s">
        <v>50</v>
      </c>
      <c r="E227">
        <v>130299.79</v>
      </c>
      <c r="F227" s="3">
        <f t="shared" si="3"/>
        <v>130.29979</v>
      </c>
    </row>
    <row r="228" spans="1:6" hidden="1">
      <c r="A228" t="s">
        <v>33</v>
      </c>
      <c r="B228" t="s">
        <v>21</v>
      </c>
      <c r="C228" s="2">
        <v>46264</v>
      </c>
      <c r="D228" t="s">
        <v>48</v>
      </c>
      <c r="E228">
        <v>115153.96</v>
      </c>
      <c r="F228" s="3">
        <f t="shared" si="3"/>
        <v>115.15396000000001</v>
      </c>
    </row>
    <row r="229" spans="1:6" hidden="1">
      <c r="A229" t="s">
        <v>33</v>
      </c>
      <c r="B229" t="s">
        <v>21</v>
      </c>
      <c r="C229" s="2">
        <v>46261</v>
      </c>
      <c r="D229" t="s">
        <v>47</v>
      </c>
      <c r="E229">
        <v>59622.75</v>
      </c>
      <c r="F229" s="3">
        <f t="shared" si="3"/>
        <v>59.622750000000003</v>
      </c>
    </row>
    <row r="230" spans="1:6" hidden="1">
      <c r="A230" t="s">
        <v>33</v>
      </c>
      <c r="B230" t="s">
        <v>21</v>
      </c>
      <c r="C230" s="2">
        <v>46263</v>
      </c>
      <c r="D230" t="s">
        <v>49</v>
      </c>
      <c r="E230">
        <v>42866.55</v>
      </c>
      <c r="F230" s="3">
        <f t="shared" si="3"/>
        <v>42.866550000000004</v>
      </c>
    </row>
    <row r="231" spans="1:6" hidden="1">
      <c r="A231" t="s">
        <v>33</v>
      </c>
      <c r="B231" t="s">
        <v>21</v>
      </c>
      <c r="C231" s="2">
        <v>46263</v>
      </c>
      <c r="D231" t="s">
        <v>44</v>
      </c>
      <c r="E231">
        <v>8358.44</v>
      </c>
      <c r="F231" s="3">
        <f t="shared" si="3"/>
        <v>8.3584399999999999</v>
      </c>
    </row>
    <row r="232" spans="1:6" hidden="1">
      <c r="A232" t="s">
        <v>33</v>
      </c>
      <c r="B232" t="s">
        <v>21</v>
      </c>
      <c r="C232" s="2">
        <v>46235</v>
      </c>
      <c r="D232" t="s">
        <v>51</v>
      </c>
      <c r="E232">
        <v>0</v>
      </c>
      <c r="F232" s="3">
        <f t="shared" si="3"/>
        <v>0</v>
      </c>
    </row>
    <row r="233" spans="1:6" hidden="1">
      <c r="A233" t="s">
        <v>33</v>
      </c>
      <c r="B233" t="s">
        <v>22</v>
      </c>
      <c r="C233" s="2">
        <v>46264</v>
      </c>
      <c r="D233" t="s">
        <v>46</v>
      </c>
      <c r="E233">
        <v>338092.27</v>
      </c>
      <c r="F233" s="3">
        <f t="shared" si="3"/>
        <v>338.09227000000004</v>
      </c>
    </row>
    <row r="234" spans="1:6" hidden="1">
      <c r="A234" t="s">
        <v>33</v>
      </c>
      <c r="B234" t="s">
        <v>22</v>
      </c>
      <c r="C234" s="2">
        <v>46235</v>
      </c>
      <c r="D234" t="s">
        <v>43</v>
      </c>
      <c r="E234">
        <v>332569.03000000003</v>
      </c>
      <c r="F234" s="3">
        <f t="shared" si="3"/>
        <v>332.56903000000005</v>
      </c>
    </row>
    <row r="235" spans="1:6" hidden="1">
      <c r="A235" t="s">
        <v>33</v>
      </c>
      <c r="B235" t="s">
        <v>22</v>
      </c>
      <c r="C235" s="2">
        <v>46235</v>
      </c>
      <c r="D235" t="s">
        <v>45</v>
      </c>
      <c r="E235">
        <v>305226.74</v>
      </c>
      <c r="F235" s="3">
        <f t="shared" si="3"/>
        <v>305.22674000000001</v>
      </c>
    </row>
    <row r="236" spans="1:6" hidden="1">
      <c r="A236" t="s">
        <v>33</v>
      </c>
      <c r="B236" t="s">
        <v>22</v>
      </c>
      <c r="C236" s="2">
        <v>46238</v>
      </c>
      <c r="D236" t="s">
        <v>44</v>
      </c>
      <c r="E236">
        <v>151314.56</v>
      </c>
      <c r="F236" s="3">
        <f t="shared" si="3"/>
        <v>151.31456</v>
      </c>
    </row>
    <row r="237" spans="1:6" hidden="1">
      <c r="A237" t="s">
        <v>33</v>
      </c>
      <c r="B237" t="s">
        <v>22</v>
      </c>
      <c r="C237" s="2">
        <v>46264</v>
      </c>
      <c r="D237" t="s">
        <v>48</v>
      </c>
      <c r="E237">
        <v>84578.08</v>
      </c>
      <c r="F237" s="3">
        <f t="shared" si="3"/>
        <v>84.57808</v>
      </c>
    </row>
    <row r="238" spans="1:6" hidden="1">
      <c r="A238" t="s">
        <v>33</v>
      </c>
      <c r="B238" t="s">
        <v>22</v>
      </c>
      <c r="C238" s="2">
        <v>46264</v>
      </c>
      <c r="D238" t="s">
        <v>49</v>
      </c>
      <c r="E238">
        <v>51953.43</v>
      </c>
      <c r="F238" s="3">
        <f t="shared" si="3"/>
        <v>51.953429999999997</v>
      </c>
    </row>
    <row r="239" spans="1:6" hidden="1">
      <c r="A239" t="s">
        <v>33</v>
      </c>
      <c r="B239" t="s">
        <v>22</v>
      </c>
      <c r="C239" s="2">
        <v>46264</v>
      </c>
      <c r="D239" t="s">
        <v>47</v>
      </c>
      <c r="E239">
        <v>40152.92</v>
      </c>
      <c r="F239" s="3">
        <f t="shared" si="3"/>
        <v>40.152920000000002</v>
      </c>
    </row>
    <row r="240" spans="1:6" hidden="1">
      <c r="A240" t="s">
        <v>33</v>
      </c>
      <c r="B240" t="s">
        <v>22</v>
      </c>
      <c r="C240" s="2">
        <v>46264</v>
      </c>
      <c r="D240" t="s">
        <v>50</v>
      </c>
      <c r="E240">
        <v>7074.58</v>
      </c>
      <c r="F240" s="3">
        <f t="shared" si="3"/>
        <v>7.0745800000000001</v>
      </c>
    </row>
    <row r="241" spans="1:6" hidden="1">
      <c r="A241" t="s">
        <v>33</v>
      </c>
      <c r="B241" t="s">
        <v>22</v>
      </c>
      <c r="C241" s="2">
        <v>46235</v>
      </c>
      <c r="D241" t="s">
        <v>51</v>
      </c>
      <c r="E241">
        <v>0</v>
      </c>
      <c r="F241" s="3">
        <f t="shared" si="3"/>
        <v>0</v>
      </c>
    </row>
    <row r="242" spans="1:6" hidden="1">
      <c r="A242" t="s">
        <v>33</v>
      </c>
      <c r="B242" t="s">
        <v>23</v>
      </c>
      <c r="C242" s="2">
        <v>46235</v>
      </c>
      <c r="D242" t="s">
        <v>48</v>
      </c>
      <c r="E242">
        <v>299162.14</v>
      </c>
      <c r="F242" s="3">
        <f t="shared" si="3"/>
        <v>299.16214000000002</v>
      </c>
    </row>
    <row r="243" spans="1:6" hidden="1">
      <c r="A243" t="s">
        <v>33</v>
      </c>
      <c r="B243" t="s">
        <v>23</v>
      </c>
      <c r="C243" s="2">
        <v>46235</v>
      </c>
      <c r="D243" t="s">
        <v>45</v>
      </c>
      <c r="E243">
        <v>128236.03</v>
      </c>
      <c r="F243" s="3">
        <f t="shared" si="3"/>
        <v>128.23603</v>
      </c>
    </row>
    <row r="244" spans="1:6" hidden="1">
      <c r="A244" t="s">
        <v>33</v>
      </c>
      <c r="B244" t="s">
        <v>23</v>
      </c>
      <c r="C244" s="2">
        <v>46239</v>
      </c>
      <c r="D244" t="s">
        <v>43</v>
      </c>
      <c r="E244">
        <v>83365.259999999995</v>
      </c>
      <c r="F244" s="3">
        <f t="shared" si="3"/>
        <v>83.365259999999992</v>
      </c>
    </row>
    <row r="245" spans="1:6" hidden="1">
      <c r="A245" t="s">
        <v>33</v>
      </c>
      <c r="B245" t="s">
        <v>23</v>
      </c>
      <c r="C245" s="2">
        <v>46256</v>
      </c>
      <c r="D245" t="s">
        <v>44</v>
      </c>
      <c r="E245">
        <v>50256.06</v>
      </c>
      <c r="F245" s="3">
        <f t="shared" si="3"/>
        <v>50.256059999999998</v>
      </c>
    </row>
    <row r="246" spans="1:6" hidden="1">
      <c r="A246" t="s">
        <v>33</v>
      </c>
      <c r="B246" t="s">
        <v>23</v>
      </c>
      <c r="C246" s="2">
        <v>46263</v>
      </c>
      <c r="D246" t="s">
        <v>49</v>
      </c>
      <c r="E246">
        <v>32283.18</v>
      </c>
      <c r="F246" s="3">
        <f t="shared" si="3"/>
        <v>32.283180000000002</v>
      </c>
    </row>
    <row r="247" spans="1:6" hidden="1">
      <c r="A247" t="s">
        <v>33</v>
      </c>
      <c r="B247" t="s">
        <v>23</v>
      </c>
      <c r="C247" s="2">
        <v>46256</v>
      </c>
      <c r="D247" t="s">
        <v>47</v>
      </c>
      <c r="E247">
        <v>22370.81</v>
      </c>
      <c r="F247" s="3">
        <f t="shared" si="3"/>
        <v>22.370810000000002</v>
      </c>
    </row>
    <row r="248" spans="1:6" hidden="1">
      <c r="A248" t="s">
        <v>33</v>
      </c>
      <c r="B248" t="s">
        <v>23</v>
      </c>
      <c r="C248" s="2">
        <v>46263</v>
      </c>
      <c r="D248" t="s">
        <v>46</v>
      </c>
      <c r="E248">
        <v>19115.150000000001</v>
      </c>
      <c r="F248" s="3">
        <f t="shared" si="3"/>
        <v>19.11515</v>
      </c>
    </row>
    <row r="249" spans="1:6" hidden="1">
      <c r="A249" t="s">
        <v>33</v>
      </c>
      <c r="B249" t="s">
        <v>23</v>
      </c>
      <c r="C249" s="2">
        <v>46263</v>
      </c>
      <c r="D249" t="s">
        <v>50</v>
      </c>
      <c r="E249">
        <v>4858.59</v>
      </c>
      <c r="F249" s="3">
        <f t="shared" si="3"/>
        <v>4.8585900000000004</v>
      </c>
    </row>
    <row r="250" spans="1:6" hidden="1">
      <c r="A250" t="s">
        <v>33</v>
      </c>
      <c r="B250" t="s">
        <v>23</v>
      </c>
      <c r="C250" s="2">
        <v>46235</v>
      </c>
      <c r="D250" t="s">
        <v>51</v>
      </c>
      <c r="E250">
        <v>0</v>
      </c>
      <c r="F250" s="3">
        <f t="shared" si="3"/>
        <v>0</v>
      </c>
    </row>
    <row r="251" spans="1:6" hidden="1">
      <c r="A251" t="s">
        <v>33</v>
      </c>
      <c r="B251" t="s">
        <v>24</v>
      </c>
      <c r="C251" s="2">
        <v>46240</v>
      </c>
      <c r="D251" t="s">
        <v>48</v>
      </c>
      <c r="E251">
        <v>749261.96</v>
      </c>
      <c r="F251" s="3">
        <f t="shared" si="3"/>
        <v>749.26195999999993</v>
      </c>
    </row>
    <row r="252" spans="1:6" hidden="1">
      <c r="A252" t="s">
        <v>33</v>
      </c>
      <c r="B252" t="s">
        <v>24</v>
      </c>
      <c r="C252" s="2">
        <v>46235</v>
      </c>
      <c r="D252" t="s">
        <v>45</v>
      </c>
      <c r="E252">
        <v>330347.68</v>
      </c>
      <c r="F252" s="3">
        <f t="shared" si="3"/>
        <v>330.34767999999997</v>
      </c>
    </row>
    <row r="253" spans="1:6" hidden="1">
      <c r="A253" t="s">
        <v>33</v>
      </c>
      <c r="B253" t="s">
        <v>24</v>
      </c>
      <c r="C253" s="2">
        <v>46235</v>
      </c>
      <c r="D253" t="s">
        <v>43</v>
      </c>
      <c r="E253">
        <v>172979.34</v>
      </c>
      <c r="F253" s="3">
        <f t="shared" si="3"/>
        <v>172.97934000000001</v>
      </c>
    </row>
    <row r="254" spans="1:6" hidden="1">
      <c r="A254" t="s">
        <v>33</v>
      </c>
      <c r="B254" t="s">
        <v>24</v>
      </c>
      <c r="C254" s="2">
        <v>46240</v>
      </c>
      <c r="D254" t="s">
        <v>44</v>
      </c>
      <c r="E254">
        <v>138154.23000000001</v>
      </c>
      <c r="F254" s="3">
        <f t="shared" si="3"/>
        <v>138.15423000000001</v>
      </c>
    </row>
    <row r="255" spans="1:6" hidden="1">
      <c r="A255" t="s">
        <v>33</v>
      </c>
      <c r="B255" t="s">
        <v>24</v>
      </c>
      <c r="C255" s="2">
        <v>46265</v>
      </c>
      <c r="D255" t="s">
        <v>49</v>
      </c>
      <c r="E255">
        <v>80879.87</v>
      </c>
      <c r="F255" s="3">
        <f t="shared" si="3"/>
        <v>80.879869999999997</v>
      </c>
    </row>
    <row r="256" spans="1:6" hidden="1">
      <c r="A256" t="s">
        <v>33</v>
      </c>
      <c r="B256" t="s">
        <v>24</v>
      </c>
      <c r="C256" s="2">
        <v>46265</v>
      </c>
      <c r="D256" t="s">
        <v>47</v>
      </c>
      <c r="E256">
        <v>61200.52</v>
      </c>
      <c r="F256" s="3">
        <f t="shared" si="3"/>
        <v>61.200519999999997</v>
      </c>
    </row>
    <row r="257" spans="1:6" hidden="1">
      <c r="A257" t="s">
        <v>33</v>
      </c>
      <c r="B257" t="s">
        <v>24</v>
      </c>
      <c r="C257" s="2">
        <v>46265</v>
      </c>
      <c r="D257" t="s">
        <v>46</v>
      </c>
      <c r="E257">
        <v>49522.55</v>
      </c>
      <c r="F257" s="3">
        <f t="shared" si="3"/>
        <v>49.522550000000003</v>
      </c>
    </row>
    <row r="258" spans="1:6" hidden="1">
      <c r="A258" t="s">
        <v>33</v>
      </c>
      <c r="B258" t="s">
        <v>24</v>
      </c>
      <c r="C258" s="2">
        <v>46265</v>
      </c>
      <c r="D258" t="s">
        <v>50</v>
      </c>
      <c r="E258">
        <v>12005.88</v>
      </c>
      <c r="F258" s="3">
        <f t="shared" si="3"/>
        <v>12.005879999999999</v>
      </c>
    </row>
    <row r="259" spans="1:6" hidden="1">
      <c r="A259" t="s">
        <v>33</v>
      </c>
      <c r="B259" t="s">
        <v>24</v>
      </c>
      <c r="C259" s="2">
        <v>46235</v>
      </c>
      <c r="D259" t="s">
        <v>51</v>
      </c>
      <c r="E259">
        <v>0</v>
      </c>
      <c r="F259" s="3">
        <f t="shared" ref="F259:F322" si="4">E259/1000</f>
        <v>0</v>
      </c>
    </row>
    <row r="260" spans="1:6" hidden="1">
      <c r="A260" t="s">
        <v>33</v>
      </c>
      <c r="B260" t="s">
        <v>25</v>
      </c>
      <c r="C260" s="2">
        <v>46236</v>
      </c>
      <c r="D260" t="s">
        <v>45</v>
      </c>
      <c r="E260">
        <v>56948.95</v>
      </c>
      <c r="F260" s="3">
        <f t="shared" si="4"/>
        <v>56.948949999999996</v>
      </c>
    </row>
    <row r="261" spans="1:6" hidden="1">
      <c r="A261" t="s">
        <v>33</v>
      </c>
      <c r="B261" t="s">
        <v>25</v>
      </c>
      <c r="C261" s="2">
        <v>46252</v>
      </c>
      <c r="D261" t="s">
        <v>44</v>
      </c>
      <c r="E261">
        <v>50164.21</v>
      </c>
      <c r="F261" s="3">
        <f t="shared" si="4"/>
        <v>50.164209999999997</v>
      </c>
    </row>
    <row r="262" spans="1:6" hidden="1">
      <c r="A262" t="s">
        <v>33</v>
      </c>
      <c r="B262" t="s">
        <v>25</v>
      </c>
      <c r="C262" s="2">
        <v>46252</v>
      </c>
      <c r="D262" t="s">
        <v>48</v>
      </c>
      <c r="E262">
        <v>42129.87</v>
      </c>
      <c r="F262" s="3">
        <f t="shared" si="4"/>
        <v>42.129870000000004</v>
      </c>
    </row>
    <row r="263" spans="1:6" hidden="1">
      <c r="A263" t="s">
        <v>33</v>
      </c>
      <c r="B263" t="s">
        <v>25</v>
      </c>
      <c r="C263" s="2">
        <v>46265</v>
      </c>
      <c r="D263" t="s">
        <v>46</v>
      </c>
      <c r="E263">
        <v>37324.47</v>
      </c>
      <c r="F263" s="3">
        <f t="shared" si="4"/>
        <v>37.324469999999998</v>
      </c>
    </row>
    <row r="264" spans="1:6" hidden="1">
      <c r="A264" t="s">
        <v>33</v>
      </c>
      <c r="B264" t="s">
        <v>25</v>
      </c>
      <c r="C264" s="2">
        <v>46236</v>
      </c>
      <c r="D264" t="s">
        <v>43</v>
      </c>
      <c r="E264">
        <v>36460.39</v>
      </c>
      <c r="F264" s="3">
        <f t="shared" si="4"/>
        <v>36.460389999999997</v>
      </c>
    </row>
    <row r="265" spans="1:6" hidden="1">
      <c r="A265" t="s">
        <v>33</v>
      </c>
      <c r="B265" t="s">
        <v>25</v>
      </c>
      <c r="C265" s="2">
        <v>46264</v>
      </c>
      <c r="D265" t="s">
        <v>47</v>
      </c>
      <c r="E265">
        <v>24649.25</v>
      </c>
      <c r="F265" s="3">
        <f t="shared" si="4"/>
        <v>24.649249999999999</v>
      </c>
    </row>
    <row r="266" spans="1:6" hidden="1">
      <c r="A266" t="s">
        <v>33</v>
      </c>
      <c r="B266" t="s">
        <v>25</v>
      </c>
      <c r="C266" s="2">
        <v>46265</v>
      </c>
      <c r="D266" t="s">
        <v>49</v>
      </c>
      <c r="E266">
        <v>10573.49</v>
      </c>
      <c r="F266" s="3">
        <f t="shared" si="4"/>
        <v>10.57349</v>
      </c>
    </row>
    <row r="267" spans="1:6" hidden="1">
      <c r="A267" t="s">
        <v>33</v>
      </c>
      <c r="B267" t="s">
        <v>25</v>
      </c>
      <c r="C267" s="2">
        <v>46235</v>
      </c>
      <c r="D267" t="s">
        <v>51</v>
      </c>
      <c r="E267">
        <v>0</v>
      </c>
      <c r="F267" s="3">
        <f t="shared" si="4"/>
        <v>0</v>
      </c>
    </row>
    <row r="268" spans="1:6" hidden="1">
      <c r="A268" t="s">
        <v>33</v>
      </c>
      <c r="B268" t="s">
        <v>25</v>
      </c>
      <c r="C268" s="2">
        <v>46235</v>
      </c>
      <c r="D268" t="s">
        <v>50</v>
      </c>
      <c r="E268">
        <v>0</v>
      </c>
      <c r="F268" s="3">
        <f t="shared" si="4"/>
        <v>0</v>
      </c>
    </row>
    <row r="269" spans="1:6" hidden="1">
      <c r="A269" t="s">
        <v>33</v>
      </c>
      <c r="B269" t="s">
        <v>26</v>
      </c>
      <c r="C269" s="2">
        <v>46235</v>
      </c>
      <c r="D269" t="s">
        <v>45</v>
      </c>
      <c r="E269">
        <v>396441.25</v>
      </c>
      <c r="F269" s="3">
        <f t="shared" si="4"/>
        <v>396.44125000000003</v>
      </c>
    </row>
    <row r="270" spans="1:6" hidden="1">
      <c r="A270" t="s">
        <v>33</v>
      </c>
      <c r="B270" t="s">
        <v>26</v>
      </c>
      <c r="C270" s="2">
        <v>46235</v>
      </c>
      <c r="D270" t="s">
        <v>43</v>
      </c>
      <c r="E270">
        <v>175978.8</v>
      </c>
      <c r="F270" s="3">
        <f t="shared" si="4"/>
        <v>175.97879999999998</v>
      </c>
    </row>
    <row r="271" spans="1:6" hidden="1">
      <c r="A271" t="s">
        <v>33</v>
      </c>
      <c r="B271" t="s">
        <v>26</v>
      </c>
      <c r="C271" s="2">
        <v>46265</v>
      </c>
      <c r="D271" t="s">
        <v>46</v>
      </c>
      <c r="E271">
        <v>114110.2</v>
      </c>
      <c r="F271" s="3">
        <f t="shared" si="4"/>
        <v>114.11019999999999</v>
      </c>
    </row>
    <row r="272" spans="1:6" hidden="1">
      <c r="A272" t="s">
        <v>33</v>
      </c>
      <c r="B272" t="s">
        <v>26</v>
      </c>
      <c r="C272" s="2">
        <v>46259</v>
      </c>
      <c r="D272" t="s">
        <v>44</v>
      </c>
      <c r="E272">
        <v>99270.95</v>
      </c>
      <c r="F272" s="3">
        <f t="shared" si="4"/>
        <v>99.270949999999999</v>
      </c>
    </row>
    <row r="273" spans="1:6" hidden="1">
      <c r="A273" t="s">
        <v>33</v>
      </c>
      <c r="B273" t="s">
        <v>26</v>
      </c>
      <c r="C273" s="2">
        <v>46265</v>
      </c>
      <c r="D273" t="s">
        <v>48</v>
      </c>
      <c r="E273">
        <v>71539.47</v>
      </c>
      <c r="F273" s="3">
        <f t="shared" si="4"/>
        <v>71.539469999999994</v>
      </c>
    </row>
    <row r="274" spans="1:6" hidden="1">
      <c r="A274" t="s">
        <v>33</v>
      </c>
      <c r="B274" t="s">
        <v>26</v>
      </c>
      <c r="C274" s="2">
        <v>46255</v>
      </c>
      <c r="D274" t="s">
        <v>49</v>
      </c>
      <c r="E274">
        <v>59379.57</v>
      </c>
      <c r="F274" s="3">
        <f t="shared" si="4"/>
        <v>59.379570000000001</v>
      </c>
    </row>
    <row r="275" spans="1:6" hidden="1">
      <c r="A275" t="s">
        <v>33</v>
      </c>
      <c r="B275" t="s">
        <v>26</v>
      </c>
      <c r="C275" s="2">
        <v>46265</v>
      </c>
      <c r="D275" t="s">
        <v>47</v>
      </c>
      <c r="E275">
        <v>47389.16</v>
      </c>
      <c r="F275" s="3">
        <f t="shared" si="4"/>
        <v>47.389160000000004</v>
      </c>
    </row>
    <row r="276" spans="1:6" hidden="1">
      <c r="A276" t="s">
        <v>33</v>
      </c>
      <c r="B276" t="s">
        <v>26</v>
      </c>
      <c r="C276" s="2">
        <v>46263</v>
      </c>
      <c r="D276" t="s">
        <v>50</v>
      </c>
      <c r="E276">
        <v>3001.59</v>
      </c>
      <c r="F276" s="3">
        <f t="shared" si="4"/>
        <v>3.0015900000000002</v>
      </c>
    </row>
    <row r="277" spans="1:6" hidden="1">
      <c r="A277" t="s">
        <v>33</v>
      </c>
      <c r="B277" t="s">
        <v>26</v>
      </c>
      <c r="C277" s="2">
        <v>46235</v>
      </c>
      <c r="D277" t="s">
        <v>51</v>
      </c>
      <c r="E277">
        <v>0</v>
      </c>
      <c r="F277" s="3">
        <f t="shared" si="4"/>
        <v>0</v>
      </c>
    </row>
    <row r="278" spans="1:6" hidden="1">
      <c r="A278" t="s">
        <v>33</v>
      </c>
      <c r="B278" t="s">
        <v>27</v>
      </c>
      <c r="C278" s="2">
        <v>46236</v>
      </c>
      <c r="D278" t="s">
        <v>45</v>
      </c>
      <c r="E278">
        <v>257885.41</v>
      </c>
      <c r="F278" s="3">
        <f t="shared" si="4"/>
        <v>257.88540999999998</v>
      </c>
    </row>
    <row r="279" spans="1:6" hidden="1">
      <c r="A279" t="s">
        <v>33</v>
      </c>
      <c r="B279" t="s">
        <v>27</v>
      </c>
      <c r="C279" s="2">
        <v>46236</v>
      </c>
      <c r="D279" t="s">
        <v>43</v>
      </c>
      <c r="E279">
        <v>113512.27</v>
      </c>
      <c r="F279" s="3">
        <f t="shared" si="4"/>
        <v>113.51227</v>
      </c>
    </row>
    <row r="280" spans="1:6" hidden="1">
      <c r="A280" t="s">
        <v>33</v>
      </c>
      <c r="B280" t="s">
        <v>27</v>
      </c>
      <c r="C280" s="2">
        <v>46262</v>
      </c>
      <c r="D280" t="s">
        <v>46</v>
      </c>
      <c r="E280">
        <v>75932.23</v>
      </c>
      <c r="F280" s="3">
        <f t="shared" si="4"/>
        <v>75.93222999999999</v>
      </c>
    </row>
    <row r="281" spans="1:6" hidden="1">
      <c r="A281" t="s">
        <v>33</v>
      </c>
      <c r="B281" t="s">
        <v>27</v>
      </c>
      <c r="C281" s="2">
        <v>46262</v>
      </c>
      <c r="D281" t="s">
        <v>44</v>
      </c>
      <c r="E281">
        <v>68170.600000000006</v>
      </c>
      <c r="F281" s="3">
        <f t="shared" si="4"/>
        <v>68.170600000000007</v>
      </c>
    </row>
    <row r="282" spans="1:6" hidden="1">
      <c r="A282" t="s">
        <v>33</v>
      </c>
      <c r="B282" t="s">
        <v>27</v>
      </c>
      <c r="C282" s="2">
        <v>46265</v>
      </c>
      <c r="D282" t="s">
        <v>48</v>
      </c>
      <c r="E282">
        <v>47831.78</v>
      </c>
      <c r="F282" s="3">
        <f t="shared" si="4"/>
        <v>47.831780000000002</v>
      </c>
    </row>
    <row r="283" spans="1:6" hidden="1">
      <c r="A283" t="s">
        <v>33</v>
      </c>
      <c r="B283" t="s">
        <v>27</v>
      </c>
      <c r="C283" s="2">
        <v>46256</v>
      </c>
      <c r="D283" t="s">
        <v>49</v>
      </c>
      <c r="E283">
        <v>38803.300000000003</v>
      </c>
      <c r="F283" s="3">
        <f t="shared" si="4"/>
        <v>38.8033</v>
      </c>
    </row>
    <row r="284" spans="1:6" hidden="1">
      <c r="A284" t="s">
        <v>33</v>
      </c>
      <c r="B284" t="s">
        <v>27</v>
      </c>
      <c r="C284" s="2">
        <v>46257</v>
      </c>
      <c r="D284" t="s">
        <v>47</v>
      </c>
      <c r="E284">
        <v>34242.300000000003</v>
      </c>
      <c r="F284" s="3">
        <f t="shared" si="4"/>
        <v>34.2423</v>
      </c>
    </row>
    <row r="285" spans="1:6" hidden="1">
      <c r="A285" t="s">
        <v>33</v>
      </c>
      <c r="B285" t="s">
        <v>27</v>
      </c>
      <c r="C285" s="2">
        <v>46262</v>
      </c>
      <c r="D285" t="s">
        <v>50</v>
      </c>
      <c r="E285">
        <v>1984.52</v>
      </c>
      <c r="F285" s="3">
        <f t="shared" si="4"/>
        <v>1.9845200000000001</v>
      </c>
    </row>
    <row r="286" spans="1:6" hidden="1">
      <c r="A286" t="s">
        <v>33</v>
      </c>
      <c r="B286" t="s">
        <v>27</v>
      </c>
      <c r="C286" s="2">
        <v>46235</v>
      </c>
      <c r="D286" t="s">
        <v>51</v>
      </c>
      <c r="E286">
        <v>0</v>
      </c>
      <c r="F286" s="3">
        <f t="shared" si="4"/>
        <v>0</v>
      </c>
    </row>
    <row r="287" spans="1:6" hidden="1">
      <c r="A287" t="s">
        <v>33</v>
      </c>
      <c r="B287" t="s">
        <v>28</v>
      </c>
      <c r="C287" s="2">
        <v>46238</v>
      </c>
      <c r="D287" t="s">
        <v>44</v>
      </c>
      <c r="E287">
        <v>109818</v>
      </c>
      <c r="F287" s="3">
        <f t="shared" si="4"/>
        <v>109.818</v>
      </c>
    </row>
    <row r="288" spans="1:6" hidden="1">
      <c r="A288" t="s">
        <v>33</v>
      </c>
      <c r="B288" t="s">
        <v>28</v>
      </c>
      <c r="C288" s="2">
        <v>46261</v>
      </c>
      <c r="D288" t="s">
        <v>46</v>
      </c>
      <c r="E288">
        <v>93737.43</v>
      </c>
      <c r="F288" s="3">
        <f t="shared" si="4"/>
        <v>93.737429999999989</v>
      </c>
    </row>
    <row r="289" spans="1:6" hidden="1">
      <c r="A289" t="s">
        <v>33</v>
      </c>
      <c r="B289" t="s">
        <v>28</v>
      </c>
      <c r="C289" s="2">
        <v>46235</v>
      </c>
      <c r="D289" t="s">
        <v>45</v>
      </c>
      <c r="E289">
        <v>91812.35</v>
      </c>
      <c r="F289" s="3">
        <f t="shared" si="4"/>
        <v>91.812350000000009</v>
      </c>
    </row>
    <row r="290" spans="1:6" hidden="1">
      <c r="A290" t="s">
        <v>33</v>
      </c>
      <c r="B290" t="s">
        <v>28</v>
      </c>
      <c r="C290" s="2">
        <v>46235</v>
      </c>
      <c r="D290" t="s">
        <v>48</v>
      </c>
      <c r="E290">
        <v>74469.259999999995</v>
      </c>
      <c r="F290" s="3">
        <f t="shared" si="4"/>
        <v>74.469259999999991</v>
      </c>
    </row>
    <row r="291" spans="1:6" hidden="1">
      <c r="A291" t="s">
        <v>33</v>
      </c>
      <c r="B291" t="s">
        <v>28</v>
      </c>
      <c r="C291" s="2">
        <v>46244</v>
      </c>
      <c r="D291" t="s">
        <v>43</v>
      </c>
      <c r="E291">
        <v>51894.67</v>
      </c>
      <c r="F291" s="3">
        <f t="shared" si="4"/>
        <v>51.894669999999998</v>
      </c>
    </row>
    <row r="292" spans="1:6" hidden="1">
      <c r="A292" t="s">
        <v>33</v>
      </c>
      <c r="B292" t="s">
        <v>28</v>
      </c>
      <c r="C292" s="2">
        <v>46261</v>
      </c>
      <c r="D292" t="s">
        <v>47</v>
      </c>
      <c r="E292">
        <v>27922.54</v>
      </c>
      <c r="F292" s="3">
        <f t="shared" si="4"/>
        <v>27.922540000000001</v>
      </c>
    </row>
    <row r="293" spans="1:6" hidden="1">
      <c r="A293" t="s">
        <v>33</v>
      </c>
      <c r="B293" t="s">
        <v>28</v>
      </c>
      <c r="C293" s="2">
        <v>46265</v>
      </c>
      <c r="D293" t="s">
        <v>49</v>
      </c>
      <c r="E293">
        <v>21727.52</v>
      </c>
      <c r="F293" s="3">
        <f t="shared" si="4"/>
        <v>21.727520000000002</v>
      </c>
    </row>
    <row r="294" spans="1:6" hidden="1">
      <c r="A294" t="s">
        <v>33</v>
      </c>
      <c r="B294" t="s">
        <v>28</v>
      </c>
      <c r="C294" s="2">
        <v>46260</v>
      </c>
      <c r="D294" t="s">
        <v>50</v>
      </c>
      <c r="E294">
        <v>2245.36</v>
      </c>
      <c r="F294" s="3">
        <f t="shared" si="4"/>
        <v>2.2453600000000002</v>
      </c>
    </row>
    <row r="295" spans="1:6" hidden="1">
      <c r="A295" t="s">
        <v>33</v>
      </c>
      <c r="B295" t="s">
        <v>28</v>
      </c>
      <c r="C295" s="2">
        <v>46235</v>
      </c>
      <c r="D295" t="s">
        <v>51</v>
      </c>
      <c r="E295">
        <v>0</v>
      </c>
      <c r="F295" s="3">
        <f t="shared" si="4"/>
        <v>0</v>
      </c>
    </row>
    <row r="296" spans="1:6" hidden="1">
      <c r="A296" t="s">
        <v>33</v>
      </c>
      <c r="B296" t="s">
        <v>29</v>
      </c>
      <c r="C296" s="2">
        <v>46238</v>
      </c>
      <c r="D296" t="s">
        <v>45</v>
      </c>
      <c r="E296">
        <v>451608.74</v>
      </c>
      <c r="F296" s="3">
        <f t="shared" si="4"/>
        <v>451.60874000000001</v>
      </c>
    </row>
    <row r="297" spans="1:6" hidden="1">
      <c r="A297" t="s">
        <v>33</v>
      </c>
      <c r="B297" t="s">
        <v>29</v>
      </c>
      <c r="C297" s="2">
        <v>46235</v>
      </c>
      <c r="D297" t="s">
        <v>43</v>
      </c>
      <c r="E297">
        <v>260909.73</v>
      </c>
      <c r="F297" s="3">
        <f t="shared" si="4"/>
        <v>260.90973000000002</v>
      </c>
    </row>
    <row r="298" spans="1:6" hidden="1">
      <c r="A298" t="s">
        <v>33</v>
      </c>
      <c r="B298" t="s">
        <v>29</v>
      </c>
      <c r="C298" s="2">
        <v>46245</v>
      </c>
      <c r="D298" t="s">
        <v>44</v>
      </c>
      <c r="E298">
        <v>226155.59</v>
      </c>
      <c r="F298" s="3">
        <f t="shared" si="4"/>
        <v>226.15558999999999</v>
      </c>
    </row>
    <row r="299" spans="1:6" hidden="1">
      <c r="A299" t="s">
        <v>33</v>
      </c>
      <c r="B299" t="s">
        <v>29</v>
      </c>
      <c r="C299" s="2">
        <v>46260</v>
      </c>
      <c r="D299" t="s">
        <v>46</v>
      </c>
      <c r="E299">
        <v>176106.37</v>
      </c>
      <c r="F299" s="3">
        <f t="shared" si="4"/>
        <v>176.10637</v>
      </c>
    </row>
    <row r="300" spans="1:6" hidden="1">
      <c r="A300" t="s">
        <v>33</v>
      </c>
      <c r="B300" t="s">
        <v>29</v>
      </c>
      <c r="C300" s="2">
        <v>46248</v>
      </c>
      <c r="D300" t="s">
        <v>48</v>
      </c>
      <c r="E300">
        <v>128211.21</v>
      </c>
      <c r="F300" s="3">
        <f t="shared" si="4"/>
        <v>128.21120999999999</v>
      </c>
    </row>
    <row r="301" spans="1:6" hidden="1">
      <c r="A301" t="s">
        <v>33</v>
      </c>
      <c r="B301" t="s">
        <v>29</v>
      </c>
      <c r="C301" s="2">
        <v>46265</v>
      </c>
      <c r="D301" t="s">
        <v>47</v>
      </c>
      <c r="E301">
        <v>62715.87</v>
      </c>
      <c r="F301" s="3">
        <f t="shared" si="4"/>
        <v>62.715870000000002</v>
      </c>
    </row>
    <row r="302" spans="1:6" hidden="1">
      <c r="A302" t="s">
        <v>33</v>
      </c>
      <c r="B302" t="s">
        <v>29</v>
      </c>
      <c r="C302" s="2">
        <v>46265</v>
      </c>
      <c r="D302" t="s">
        <v>49</v>
      </c>
      <c r="E302">
        <v>57145.7</v>
      </c>
      <c r="F302" s="3">
        <f t="shared" si="4"/>
        <v>57.145699999999998</v>
      </c>
    </row>
    <row r="303" spans="1:6" hidden="1">
      <c r="A303" t="s">
        <v>33</v>
      </c>
      <c r="B303" t="s">
        <v>29</v>
      </c>
      <c r="C303" s="2">
        <v>46265</v>
      </c>
      <c r="D303" t="s">
        <v>50</v>
      </c>
      <c r="E303">
        <v>7922.87</v>
      </c>
      <c r="F303" s="3">
        <f t="shared" si="4"/>
        <v>7.9228699999999996</v>
      </c>
    </row>
    <row r="304" spans="1:6" hidden="1">
      <c r="A304" t="s">
        <v>33</v>
      </c>
      <c r="B304" t="s">
        <v>29</v>
      </c>
      <c r="C304" s="2">
        <v>46235</v>
      </c>
      <c r="D304" t="s">
        <v>51</v>
      </c>
      <c r="E304">
        <v>0</v>
      </c>
      <c r="F304" s="3">
        <f t="shared" si="4"/>
        <v>0</v>
      </c>
    </row>
    <row r="305" spans="1:6" hidden="1">
      <c r="A305" t="s">
        <v>33</v>
      </c>
      <c r="B305" t="s">
        <v>30</v>
      </c>
      <c r="C305" s="2">
        <v>46236</v>
      </c>
      <c r="D305" t="s">
        <v>45</v>
      </c>
      <c r="E305">
        <v>306703.07</v>
      </c>
      <c r="F305" s="3">
        <f t="shared" si="4"/>
        <v>306.70307000000003</v>
      </c>
    </row>
    <row r="306" spans="1:6" hidden="1">
      <c r="A306" t="s">
        <v>33</v>
      </c>
      <c r="B306" t="s">
        <v>30</v>
      </c>
      <c r="C306" s="2">
        <v>46236</v>
      </c>
      <c r="D306" t="s">
        <v>43</v>
      </c>
      <c r="E306">
        <v>173405.11</v>
      </c>
      <c r="F306" s="3">
        <f t="shared" si="4"/>
        <v>173.40510999999998</v>
      </c>
    </row>
    <row r="307" spans="1:6" hidden="1">
      <c r="A307" t="s">
        <v>33</v>
      </c>
      <c r="B307" t="s">
        <v>30</v>
      </c>
      <c r="C307" s="2">
        <v>46239</v>
      </c>
      <c r="D307" t="s">
        <v>44</v>
      </c>
      <c r="E307">
        <v>126293.93</v>
      </c>
      <c r="F307" s="3">
        <f t="shared" si="4"/>
        <v>126.29392999999999</v>
      </c>
    </row>
    <row r="308" spans="1:6" hidden="1">
      <c r="A308" t="s">
        <v>33</v>
      </c>
      <c r="B308" t="s">
        <v>30</v>
      </c>
      <c r="C308" s="2">
        <v>46263</v>
      </c>
      <c r="D308" t="s">
        <v>46</v>
      </c>
      <c r="E308">
        <v>118843.52</v>
      </c>
      <c r="F308" s="3">
        <f t="shared" si="4"/>
        <v>118.84352</v>
      </c>
    </row>
    <row r="309" spans="1:6" hidden="1">
      <c r="A309" t="s">
        <v>33</v>
      </c>
      <c r="B309" t="s">
        <v>30</v>
      </c>
      <c r="C309" s="2">
        <v>46256</v>
      </c>
      <c r="D309" t="s">
        <v>48</v>
      </c>
      <c r="E309">
        <v>88778.3</v>
      </c>
      <c r="F309" s="3">
        <f t="shared" si="4"/>
        <v>88.778300000000002</v>
      </c>
    </row>
    <row r="310" spans="1:6" hidden="1">
      <c r="A310" t="s">
        <v>33</v>
      </c>
      <c r="B310" t="s">
        <v>30</v>
      </c>
      <c r="C310" s="2">
        <v>46263</v>
      </c>
      <c r="D310" t="s">
        <v>49</v>
      </c>
      <c r="E310">
        <v>42024.55</v>
      </c>
      <c r="F310" s="3">
        <f t="shared" si="4"/>
        <v>42.024550000000005</v>
      </c>
    </row>
    <row r="311" spans="1:6" hidden="1">
      <c r="A311" t="s">
        <v>33</v>
      </c>
      <c r="B311" t="s">
        <v>30</v>
      </c>
      <c r="C311" s="2">
        <v>46265</v>
      </c>
      <c r="D311" t="s">
        <v>47</v>
      </c>
      <c r="E311">
        <v>38910.870000000003</v>
      </c>
      <c r="F311" s="3">
        <f t="shared" si="4"/>
        <v>38.910870000000003</v>
      </c>
    </row>
    <row r="312" spans="1:6" hidden="1">
      <c r="A312" t="s">
        <v>33</v>
      </c>
      <c r="B312" t="s">
        <v>30</v>
      </c>
      <c r="C312" s="2">
        <v>46264</v>
      </c>
      <c r="D312" t="s">
        <v>50</v>
      </c>
      <c r="E312">
        <v>5373.71</v>
      </c>
      <c r="F312" s="3">
        <f t="shared" si="4"/>
        <v>5.37371</v>
      </c>
    </row>
    <row r="313" spans="1:6" hidden="1">
      <c r="A313" t="s">
        <v>33</v>
      </c>
      <c r="B313" t="s">
        <v>30</v>
      </c>
      <c r="C313" s="2">
        <v>46235</v>
      </c>
      <c r="D313" t="s">
        <v>51</v>
      </c>
      <c r="E313">
        <v>0</v>
      </c>
      <c r="F313" s="3">
        <f t="shared" si="4"/>
        <v>0</v>
      </c>
    </row>
    <row r="314" spans="1:6" hidden="1">
      <c r="A314" t="s">
        <v>33</v>
      </c>
      <c r="B314" t="s">
        <v>31</v>
      </c>
      <c r="C314" s="2">
        <v>46235</v>
      </c>
      <c r="D314" t="s">
        <v>45</v>
      </c>
      <c r="E314">
        <v>380866.14</v>
      </c>
      <c r="F314" s="3">
        <f t="shared" si="4"/>
        <v>380.86614000000003</v>
      </c>
    </row>
    <row r="315" spans="1:6" hidden="1">
      <c r="A315" t="s">
        <v>33</v>
      </c>
      <c r="B315" t="s">
        <v>31</v>
      </c>
      <c r="C315" s="2">
        <v>46235</v>
      </c>
      <c r="D315" t="s">
        <v>43</v>
      </c>
      <c r="E315">
        <v>215829.14</v>
      </c>
      <c r="F315" s="3">
        <f t="shared" si="4"/>
        <v>215.82914000000002</v>
      </c>
    </row>
    <row r="316" spans="1:6" hidden="1">
      <c r="A316" t="s">
        <v>33</v>
      </c>
      <c r="B316" t="s">
        <v>31</v>
      </c>
      <c r="C316" s="2">
        <v>46263</v>
      </c>
      <c r="D316" t="s">
        <v>44</v>
      </c>
      <c r="E316">
        <v>159678.51</v>
      </c>
      <c r="F316" s="3">
        <f t="shared" si="4"/>
        <v>159.67851000000002</v>
      </c>
    </row>
    <row r="317" spans="1:6" hidden="1">
      <c r="A317" t="s">
        <v>33</v>
      </c>
      <c r="B317" t="s">
        <v>31</v>
      </c>
      <c r="C317" s="2">
        <v>46262</v>
      </c>
      <c r="D317" t="s">
        <v>46</v>
      </c>
      <c r="E317">
        <v>153056.28</v>
      </c>
      <c r="F317" s="3">
        <f t="shared" si="4"/>
        <v>153.05627999999999</v>
      </c>
    </row>
    <row r="318" spans="1:6" hidden="1">
      <c r="A318" t="s">
        <v>33</v>
      </c>
      <c r="B318" t="s">
        <v>31</v>
      </c>
      <c r="C318" s="2">
        <v>46262</v>
      </c>
      <c r="D318" t="s">
        <v>48</v>
      </c>
      <c r="E318">
        <v>107267.24</v>
      </c>
      <c r="F318" s="3">
        <f t="shared" si="4"/>
        <v>107.26724</v>
      </c>
    </row>
    <row r="319" spans="1:6" hidden="1">
      <c r="A319" t="s">
        <v>33</v>
      </c>
      <c r="B319" t="s">
        <v>31</v>
      </c>
      <c r="C319" s="2">
        <v>46265</v>
      </c>
      <c r="D319" t="s">
        <v>47</v>
      </c>
      <c r="E319">
        <v>51686.83</v>
      </c>
      <c r="F319" s="3">
        <f t="shared" si="4"/>
        <v>51.68683</v>
      </c>
    </row>
    <row r="320" spans="1:6" hidden="1">
      <c r="A320" t="s">
        <v>33</v>
      </c>
      <c r="B320" t="s">
        <v>31</v>
      </c>
      <c r="C320" s="2">
        <v>46265</v>
      </c>
      <c r="D320" t="s">
        <v>49</v>
      </c>
      <c r="E320">
        <v>49879.74</v>
      </c>
      <c r="F320" s="3">
        <f t="shared" si="4"/>
        <v>49.879739999999998</v>
      </c>
    </row>
    <row r="321" spans="1:6" hidden="1">
      <c r="A321" t="s">
        <v>33</v>
      </c>
      <c r="B321" t="s">
        <v>31</v>
      </c>
      <c r="C321" s="2">
        <v>46263</v>
      </c>
      <c r="D321" t="s">
        <v>50</v>
      </c>
      <c r="E321">
        <v>6655.01</v>
      </c>
      <c r="F321" s="3">
        <f t="shared" si="4"/>
        <v>6.6550099999999999</v>
      </c>
    </row>
    <row r="322" spans="1:6" hidden="1">
      <c r="A322" t="s">
        <v>33</v>
      </c>
      <c r="B322" t="s">
        <v>31</v>
      </c>
      <c r="C322" s="2">
        <v>46235</v>
      </c>
      <c r="D322" t="s">
        <v>51</v>
      </c>
      <c r="E322">
        <v>0</v>
      </c>
      <c r="F322" s="3">
        <f t="shared" si="4"/>
        <v>0</v>
      </c>
    </row>
    <row r="323" spans="1:6" hidden="1">
      <c r="A323" t="s">
        <v>34</v>
      </c>
      <c r="B323" t="s">
        <v>20</v>
      </c>
      <c r="C323" s="2">
        <v>46285</v>
      </c>
      <c r="D323" t="s">
        <v>46</v>
      </c>
      <c r="E323">
        <v>229549.86</v>
      </c>
      <c r="F323" s="3">
        <f t="shared" ref="F323:F386" si="5">E323/1000</f>
        <v>229.54986</v>
      </c>
    </row>
    <row r="324" spans="1:6" hidden="1">
      <c r="A324" t="s">
        <v>34</v>
      </c>
      <c r="B324" t="s">
        <v>20</v>
      </c>
      <c r="C324" s="2">
        <v>46268</v>
      </c>
      <c r="D324" t="s">
        <v>44</v>
      </c>
      <c r="E324">
        <v>222209.53</v>
      </c>
      <c r="F324" s="3">
        <f t="shared" si="5"/>
        <v>222.20953</v>
      </c>
    </row>
    <row r="325" spans="1:6" hidden="1">
      <c r="A325" t="s">
        <v>34</v>
      </c>
      <c r="B325" t="s">
        <v>20</v>
      </c>
      <c r="C325" s="2">
        <v>46266</v>
      </c>
      <c r="D325" t="s">
        <v>43</v>
      </c>
      <c r="E325">
        <v>191770.26</v>
      </c>
      <c r="F325" s="3">
        <f t="shared" si="5"/>
        <v>191.77026000000001</v>
      </c>
    </row>
    <row r="326" spans="1:6" hidden="1">
      <c r="A326" t="s">
        <v>34</v>
      </c>
      <c r="B326" t="s">
        <v>20</v>
      </c>
      <c r="C326" s="2">
        <v>46268</v>
      </c>
      <c r="D326" t="s">
        <v>45</v>
      </c>
      <c r="E326">
        <v>167854.76</v>
      </c>
      <c r="F326" s="3">
        <f t="shared" si="5"/>
        <v>167.85476</v>
      </c>
    </row>
    <row r="327" spans="1:6" hidden="1">
      <c r="A327" t="s">
        <v>34</v>
      </c>
      <c r="B327" t="s">
        <v>20</v>
      </c>
      <c r="C327" s="2">
        <v>46266</v>
      </c>
      <c r="D327" t="s">
        <v>48</v>
      </c>
      <c r="E327">
        <v>104642.12</v>
      </c>
      <c r="F327" s="3">
        <f t="shared" si="5"/>
        <v>104.64211999999999</v>
      </c>
    </row>
    <row r="328" spans="1:6" hidden="1">
      <c r="A328" t="s">
        <v>34</v>
      </c>
      <c r="B328" t="s">
        <v>20</v>
      </c>
      <c r="C328" s="2">
        <v>46268</v>
      </c>
      <c r="D328" t="s">
        <v>49</v>
      </c>
      <c r="E328">
        <v>57267.49</v>
      </c>
      <c r="F328" s="3">
        <f t="shared" si="5"/>
        <v>57.267489999999995</v>
      </c>
    </row>
    <row r="329" spans="1:6" hidden="1">
      <c r="A329" t="s">
        <v>34</v>
      </c>
      <c r="B329" t="s">
        <v>20</v>
      </c>
      <c r="C329" s="2">
        <v>46289</v>
      </c>
      <c r="D329" t="s">
        <v>47</v>
      </c>
      <c r="E329">
        <v>47906.41</v>
      </c>
      <c r="F329" s="3">
        <f t="shared" si="5"/>
        <v>47.906410000000001</v>
      </c>
    </row>
    <row r="330" spans="1:6" hidden="1">
      <c r="A330" t="s">
        <v>34</v>
      </c>
      <c r="B330" t="s">
        <v>20</v>
      </c>
      <c r="C330" s="2">
        <v>46279</v>
      </c>
      <c r="D330" t="s">
        <v>50</v>
      </c>
      <c r="E330">
        <v>15026.42</v>
      </c>
      <c r="F330" s="3">
        <f t="shared" si="5"/>
        <v>15.02642</v>
      </c>
    </row>
    <row r="331" spans="1:6" hidden="1">
      <c r="A331" t="s">
        <v>34</v>
      </c>
      <c r="B331" t="s">
        <v>21</v>
      </c>
      <c r="C331" s="2">
        <v>46294</v>
      </c>
      <c r="D331" t="s">
        <v>46</v>
      </c>
      <c r="E331">
        <v>232939.97</v>
      </c>
      <c r="F331" s="3">
        <f t="shared" si="5"/>
        <v>232.93996999999999</v>
      </c>
    </row>
    <row r="332" spans="1:6" hidden="1">
      <c r="A332" t="s">
        <v>34</v>
      </c>
      <c r="B332" t="s">
        <v>21</v>
      </c>
      <c r="C332" s="2">
        <v>46289</v>
      </c>
      <c r="D332" t="s">
        <v>43</v>
      </c>
      <c r="E332">
        <v>203180.51</v>
      </c>
      <c r="F332" s="3">
        <f t="shared" si="5"/>
        <v>203.18051</v>
      </c>
    </row>
    <row r="333" spans="1:6" hidden="1">
      <c r="A333" t="s">
        <v>34</v>
      </c>
      <c r="B333" t="s">
        <v>21</v>
      </c>
      <c r="C333" s="2">
        <v>46266</v>
      </c>
      <c r="D333" t="s">
        <v>45</v>
      </c>
      <c r="E333">
        <v>188383.68</v>
      </c>
      <c r="F333" s="3">
        <f t="shared" si="5"/>
        <v>188.38368</v>
      </c>
    </row>
    <row r="334" spans="1:6" hidden="1">
      <c r="A334" t="s">
        <v>34</v>
      </c>
      <c r="B334" t="s">
        <v>21</v>
      </c>
      <c r="C334" s="2">
        <v>46285</v>
      </c>
      <c r="D334" t="s">
        <v>50</v>
      </c>
      <c r="E334">
        <v>141001.54</v>
      </c>
      <c r="F334" s="3">
        <f t="shared" si="5"/>
        <v>141.00154000000001</v>
      </c>
    </row>
    <row r="335" spans="1:6" hidden="1">
      <c r="A335" t="s">
        <v>34</v>
      </c>
      <c r="B335" t="s">
        <v>21</v>
      </c>
      <c r="C335" s="2">
        <v>46266</v>
      </c>
      <c r="D335" t="s">
        <v>48</v>
      </c>
      <c r="E335">
        <v>114848.23</v>
      </c>
      <c r="F335" s="3">
        <f t="shared" si="5"/>
        <v>114.84823</v>
      </c>
    </row>
    <row r="336" spans="1:6" hidden="1">
      <c r="A336" t="s">
        <v>34</v>
      </c>
      <c r="B336" t="s">
        <v>21</v>
      </c>
      <c r="C336" s="2">
        <v>46286</v>
      </c>
      <c r="D336" t="s">
        <v>47</v>
      </c>
      <c r="E336">
        <v>67501.2</v>
      </c>
      <c r="F336" s="3">
        <f t="shared" si="5"/>
        <v>67.501199999999997</v>
      </c>
    </row>
    <row r="337" spans="1:6" hidden="1">
      <c r="A337" t="s">
        <v>34</v>
      </c>
      <c r="B337" t="s">
        <v>21</v>
      </c>
      <c r="C337" s="2">
        <v>46266</v>
      </c>
      <c r="D337" t="s">
        <v>49</v>
      </c>
      <c r="E337">
        <v>43244.66</v>
      </c>
      <c r="F337" s="3">
        <f t="shared" si="5"/>
        <v>43.244660000000003</v>
      </c>
    </row>
    <row r="338" spans="1:6" hidden="1">
      <c r="A338" t="s">
        <v>34</v>
      </c>
      <c r="B338" t="s">
        <v>21</v>
      </c>
      <c r="C338" s="2">
        <v>46294</v>
      </c>
      <c r="D338" t="s">
        <v>44</v>
      </c>
      <c r="E338">
        <v>14146.39</v>
      </c>
      <c r="F338" s="3">
        <f t="shared" si="5"/>
        <v>14.14639</v>
      </c>
    </row>
    <row r="339" spans="1:6" hidden="1">
      <c r="A339" t="s">
        <v>34</v>
      </c>
      <c r="B339" t="s">
        <v>21</v>
      </c>
      <c r="C339" s="2">
        <v>46266</v>
      </c>
      <c r="D339" t="s">
        <v>51</v>
      </c>
      <c r="E339">
        <v>0</v>
      </c>
      <c r="F339" s="3">
        <f t="shared" si="5"/>
        <v>0</v>
      </c>
    </row>
    <row r="340" spans="1:6" hidden="1">
      <c r="A340" t="s">
        <v>34</v>
      </c>
      <c r="B340" t="s">
        <v>22</v>
      </c>
      <c r="C340" s="2">
        <v>46289</v>
      </c>
      <c r="D340" t="s">
        <v>46</v>
      </c>
      <c r="E340">
        <v>442200.69</v>
      </c>
      <c r="F340" s="3">
        <f t="shared" si="5"/>
        <v>442.20069000000001</v>
      </c>
    </row>
    <row r="341" spans="1:6" hidden="1">
      <c r="A341" t="s">
        <v>34</v>
      </c>
      <c r="B341" t="s">
        <v>22</v>
      </c>
      <c r="C341" s="2">
        <v>46289</v>
      </c>
      <c r="D341" t="s">
        <v>43</v>
      </c>
      <c r="E341">
        <v>261843.09</v>
      </c>
      <c r="F341" s="3">
        <f t="shared" si="5"/>
        <v>261.84309000000002</v>
      </c>
    </row>
    <row r="342" spans="1:6" hidden="1">
      <c r="A342" t="s">
        <v>34</v>
      </c>
      <c r="B342" t="s">
        <v>22</v>
      </c>
      <c r="C342" s="2">
        <v>46269</v>
      </c>
      <c r="D342" t="s">
        <v>45</v>
      </c>
      <c r="E342">
        <v>256686.15</v>
      </c>
      <c r="F342" s="3">
        <f t="shared" si="5"/>
        <v>256.68615</v>
      </c>
    </row>
    <row r="343" spans="1:6" hidden="1">
      <c r="A343" t="s">
        <v>34</v>
      </c>
      <c r="B343" t="s">
        <v>22</v>
      </c>
      <c r="C343" s="2">
        <v>46269</v>
      </c>
      <c r="D343" t="s">
        <v>44</v>
      </c>
      <c r="E343">
        <v>154476.32999999999</v>
      </c>
      <c r="F343" s="3">
        <f t="shared" si="5"/>
        <v>154.47632999999999</v>
      </c>
    </row>
    <row r="344" spans="1:6" hidden="1">
      <c r="A344" t="s">
        <v>34</v>
      </c>
      <c r="B344" t="s">
        <v>22</v>
      </c>
      <c r="C344" s="2">
        <v>46266</v>
      </c>
      <c r="D344" t="s">
        <v>48</v>
      </c>
      <c r="E344">
        <v>84517.16</v>
      </c>
      <c r="F344" s="3">
        <f t="shared" si="5"/>
        <v>84.517160000000004</v>
      </c>
    </row>
    <row r="345" spans="1:6" hidden="1">
      <c r="A345" t="s">
        <v>34</v>
      </c>
      <c r="B345" t="s">
        <v>22</v>
      </c>
      <c r="C345" s="2">
        <v>46266</v>
      </c>
      <c r="D345" t="s">
        <v>49</v>
      </c>
      <c r="E345">
        <v>51401.15</v>
      </c>
      <c r="F345" s="3">
        <f t="shared" si="5"/>
        <v>51.401150000000001</v>
      </c>
    </row>
    <row r="346" spans="1:6" hidden="1">
      <c r="A346" t="s">
        <v>34</v>
      </c>
      <c r="B346" t="s">
        <v>22</v>
      </c>
      <c r="C346" s="2">
        <v>46289</v>
      </c>
      <c r="D346" t="s">
        <v>47</v>
      </c>
      <c r="E346">
        <v>40025.57</v>
      </c>
      <c r="F346" s="3">
        <f t="shared" si="5"/>
        <v>40.025570000000002</v>
      </c>
    </row>
    <row r="347" spans="1:6" hidden="1">
      <c r="A347" t="s">
        <v>34</v>
      </c>
      <c r="B347" t="s">
        <v>22</v>
      </c>
      <c r="C347" s="2">
        <v>46285</v>
      </c>
      <c r="D347" t="s">
        <v>50</v>
      </c>
      <c r="E347">
        <v>7881.96</v>
      </c>
      <c r="F347" s="3">
        <f t="shared" si="5"/>
        <v>7.8819600000000003</v>
      </c>
    </row>
    <row r="348" spans="1:6" hidden="1">
      <c r="A348" t="s">
        <v>34</v>
      </c>
      <c r="B348" t="s">
        <v>22</v>
      </c>
      <c r="C348" s="2">
        <v>46266</v>
      </c>
      <c r="D348" t="s">
        <v>51</v>
      </c>
      <c r="E348">
        <v>0</v>
      </c>
      <c r="F348" s="3">
        <f t="shared" si="5"/>
        <v>0</v>
      </c>
    </row>
    <row r="349" spans="1:6" hidden="1">
      <c r="A349" t="s">
        <v>34</v>
      </c>
      <c r="B349" t="s">
        <v>23</v>
      </c>
      <c r="C349" s="2">
        <v>46266</v>
      </c>
      <c r="D349" t="s">
        <v>48</v>
      </c>
      <c r="E349">
        <v>285289.06</v>
      </c>
      <c r="F349" s="3">
        <f t="shared" si="5"/>
        <v>285.28906000000001</v>
      </c>
    </row>
    <row r="350" spans="1:6" hidden="1">
      <c r="A350" t="s">
        <v>34</v>
      </c>
      <c r="B350" t="s">
        <v>23</v>
      </c>
      <c r="C350" s="2">
        <v>46270</v>
      </c>
      <c r="D350" t="s">
        <v>45</v>
      </c>
      <c r="E350">
        <v>109999.41</v>
      </c>
      <c r="F350" s="3">
        <f t="shared" si="5"/>
        <v>109.99941</v>
      </c>
    </row>
    <row r="351" spans="1:6" hidden="1">
      <c r="A351" t="s">
        <v>34</v>
      </c>
      <c r="B351" t="s">
        <v>23</v>
      </c>
      <c r="C351" s="2">
        <v>46269</v>
      </c>
      <c r="D351" t="s">
        <v>43</v>
      </c>
      <c r="E351">
        <v>68012.53</v>
      </c>
      <c r="F351" s="3">
        <f t="shared" si="5"/>
        <v>68.012529999999998</v>
      </c>
    </row>
    <row r="352" spans="1:6" hidden="1">
      <c r="A352" t="s">
        <v>34</v>
      </c>
      <c r="B352" t="s">
        <v>23</v>
      </c>
      <c r="C352" s="2">
        <v>46270</v>
      </c>
      <c r="D352" t="s">
        <v>44</v>
      </c>
      <c r="E352">
        <v>52495.66</v>
      </c>
      <c r="F352" s="3">
        <f t="shared" si="5"/>
        <v>52.495660000000001</v>
      </c>
    </row>
    <row r="353" spans="1:6" hidden="1">
      <c r="A353" t="s">
        <v>34</v>
      </c>
      <c r="B353" t="s">
        <v>23</v>
      </c>
      <c r="C353" s="2">
        <v>46269</v>
      </c>
      <c r="D353" t="s">
        <v>49</v>
      </c>
      <c r="E353">
        <v>29835.200000000001</v>
      </c>
      <c r="F353" s="3">
        <f t="shared" si="5"/>
        <v>29.8352</v>
      </c>
    </row>
    <row r="354" spans="1:6" hidden="1">
      <c r="A354" t="s">
        <v>34</v>
      </c>
      <c r="B354" t="s">
        <v>23</v>
      </c>
      <c r="C354" s="2">
        <v>46276</v>
      </c>
      <c r="D354" t="s">
        <v>46</v>
      </c>
      <c r="E354">
        <v>23477.48</v>
      </c>
      <c r="F354" s="3">
        <f t="shared" si="5"/>
        <v>23.47748</v>
      </c>
    </row>
    <row r="355" spans="1:6" hidden="1">
      <c r="A355" t="s">
        <v>34</v>
      </c>
      <c r="B355" t="s">
        <v>23</v>
      </c>
      <c r="C355" s="2">
        <v>46276</v>
      </c>
      <c r="D355" t="s">
        <v>47</v>
      </c>
      <c r="E355">
        <v>22927.39</v>
      </c>
      <c r="F355" s="3">
        <f t="shared" si="5"/>
        <v>22.927389999999999</v>
      </c>
    </row>
    <row r="356" spans="1:6" hidden="1">
      <c r="A356" t="s">
        <v>34</v>
      </c>
      <c r="B356" t="s">
        <v>23</v>
      </c>
      <c r="C356" s="2">
        <v>46291</v>
      </c>
      <c r="D356" t="s">
        <v>50</v>
      </c>
      <c r="E356">
        <v>5601.22</v>
      </c>
      <c r="F356" s="3">
        <f t="shared" si="5"/>
        <v>5.6012200000000005</v>
      </c>
    </row>
    <row r="357" spans="1:6" hidden="1">
      <c r="A357" t="s">
        <v>34</v>
      </c>
      <c r="B357" t="s">
        <v>23</v>
      </c>
      <c r="C357" s="2">
        <v>46266</v>
      </c>
      <c r="D357" t="s">
        <v>51</v>
      </c>
      <c r="E357">
        <v>0</v>
      </c>
      <c r="F357" s="3">
        <f t="shared" si="5"/>
        <v>0</v>
      </c>
    </row>
    <row r="358" spans="1:6" hidden="1">
      <c r="A358" t="s">
        <v>34</v>
      </c>
      <c r="B358" t="s">
        <v>24</v>
      </c>
      <c r="C358" s="2">
        <v>46266</v>
      </c>
      <c r="D358" t="s">
        <v>48</v>
      </c>
      <c r="E358">
        <v>726788.45</v>
      </c>
      <c r="F358" s="3">
        <f t="shared" si="5"/>
        <v>726.7884499999999</v>
      </c>
    </row>
    <row r="359" spans="1:6" hidden="1">
      <c r="A359" t="s">
        <v>34</v>
      </c>
      <c r="B359" t="s">
        <v>24</v>
      </c>
      <c r="C359" s="2">
        <v>46266</v>
      </c>
      <c r="D359" t="s">
        <v>45</v>
      </c>
      <c r="E359">
        <v>288497.65999999997</v>
      </c>
      <c r="F359" s="3">
        <f t="shared" si="5"/>
        <v>288.49766</v>
      </c>
    </row>
    <row r="360" spans="1:6" hidden="1">
      <c r="A360" t="s">
        <v>34</v>
      </c>
      <c r="B360" t="s">
        <v>24</v>
      </c>
      <c r="C360" s="2">
        <v>46268</v>
      </c>
      <c r="D360" t="s">
        <v>43</v>
      </c>
      <c r="E360">
        <v>169453.63</v>
      </c>
      <c r="F360" s="3">
        <f t="shared" si="5"/>
        <v>169.45363</v>
      </c>
    </row>
    <row r="361" spans="1:6" hidden="1">
      <c r="A361" t="s">
        <v>34</v>
      </c>
      <c r="B361" t="s">
        <v>24</v>
      </c>
      <c r="C361" s="2">
        <v>46266</v>
      </c>
      <c r="D361" t="s">
        <v>44</v>
      </c>
      <c r="E361">
        <v>134410.16</v>
      </c>
      <c r="F361" s="3">
        <f t="shared" si="5"/>
        <v>134.41015999999999</v>
      </c>
    </row>
    <row r="362" spans="1:6" hidden="1">
      <c r="A362" t="s">
        <v>34</v>
      </c>
      <c r="B362" t="s">
        <v>24</v>
      </c>
      <c r="C362" s="2">
        <v>46266</v>
      </c>
      <c r="D362" t="s">
        <v>49</v>
      </c>
      <c r="E362">
        <v>81809.119999999995</v>
      </c>
      <c r="F362" s="3">
        <f t="shared" si="5"/>
        <v>81.809119999999993</v>
      </c>
    </row>
    <row r="363" spans="1:6" hidden="1">
      <c r="A363" t="s">
        <v>34</v>
      </c>
      <c r="B363" t="s">
        <v>24</v>
      </c>
      <c r="C363" s="2">
        <v>46287</v>
      </c>
      <c r="D363" t="s">
        <v>47</v>
      </c>
      <c r="E363">
        <v>65387.06</v>
      </c>
      <c r="F363" s="3">
        <f t="shared" si="5"/>
        <v>65.387059999999991</v>
      </c>
    </row>
    <row r="364" spans="1:6" hidden="1">
      <c r="A364" t="s">
        <v>34</v>
      </c>
      <c r="B364" t="s">
        <v>24</v>
      </c>
      <c r="C364" s="2">
        <v>46289</v>
      </c>
      <c r="D364" t="s">
        <v>46</v>
      </c>
      <c r="E364">
        <v>61961.89</v>
      </c>
      <c r="F364" s="3">
        <f t="shared" si="5"/>
        <v>61.961889999999997</v>
      </c>
    </row>
    <row r="365" spans="1:6" hidden="1">
      <c r="A365" t="s">
        <v>34</v>
      </c>
      <c r="B365" t="s">
        <v>24</v>
      </c>
      <c r="C365" s="2">
        <v>46295</v>
      </c>
      <c r="D365" t="s">
        <v>50</v>
      </c>
      <c r="E365">
        <v>14121.84</v>
      </c>
      <c r="F365" s="3">
        <f t="shared" si="5"/>
        <v>14.121840000000001</v>
      </c>
    </row>
    <row r="366" spans="1:6" hidden="1">
      <c r="A366" t="s">
        <v>34</v>
      </c>
      <c r="B366" t="s">
        <v>24</v>
      </c>
      <c r="C366" s="2">
        <v>46266</v>
      </c>
      <c r="D366" t="s">
        <v>51</v>
      </c>
      <c r="E366">
        <v>0</v>
      </c>
      <c r="F366" s="3">
        <f t="shared" si="5"/>
        <v>0</v>
      </c>
    </row>
    <row r="367" spans="1:6" hidden="1">
      <c r="A367" t="s">
        <v>34</v>
      </c>
      <c r="B367" t="s">
        <v>25</v>
      </c>
      <c r="C367" s="2">
        <v>46288</v>
      </c>
      <c r="D367" t="s">
        <v>44</v>
      </c>
      <c r="E367">
        <v>60475.08</v>
      </c>
      <c r="F367" s="3">
        <f t="shared" si="5"/>
        <v>60.475079999999998</v>
      </c>
    </row>
    <row r="368" spans="1:6" hidden="1">
      <c r="A368" t="s">
        <v>34</v>
      </c>
      <c r="B368" t="s">
        <v>25</v>
      </c>
      <c r="C368" s="2">
        <v>46276</v>
      </c>
      <c r="D368" t="s">
        <v>45</v>
      </c>
      <c r="E368">
        <v>47366.15</v>
      </c>
      <c r="F368" s="3">
        <f t="shared" si="5"/>
        <v>47.366150000000005</v>
      </c>
    </row>
    <row r="369" spans="1:6" hidden="1">
      <c r="A369" t="s">
        <v>34</v>
      </c>
      <c r="B369" t="s">
        <v>25</v>
      </c>
      <c r="C369" s="2">
        <v>46276</v>
      </c>
      <c r="D369" t="s">
        <v>46</v>
      </c>
      <c r="E369">
        <v>43624.25</v>
      </c>
      <c r="F369" s="3">
        <f t="shared" si="5"/>
        <v>43.624250000000004</v>
      </c>
    </row>
    <row r="370" spans="1:6" hidden="1">
      <c r="A370" t="s">
        <v>34</v>
      </c>
      <c r="B370" t="s">
        <v>25</v>
      </c>
      <c r="C370" s="2">
        <v>46266</v>
      </c>
      <c r="D370" t="s">
        <v>48</v>
      </c>
      <c r="E370">
        <v>41335.839999999997</v>
      </c>
      <c r="F370" s="3">
        <f t="shared" si="5"/>
        <v>41.335839999999997</v>
      </c>
    </row>
    <row r="371" spans="1:6" hidden="1">
      <c r="A371" t="s">
        <v>34</v>
      </c>
      <c r="B371" t="s">
        <v>25</v>
      </c>
      <c r="C371" s="2">
        <v>46294</v>
      </c>
      <c r="D371" t="s">
        <v>43</v>
      </c>
      <c r="E371">
        <v>33321.33</v>
      </c>
      <c r="F371" s="3">
        <f t="shared" si="5"/>
        <v>33.321330000000003</v>
      </c>
    </row>
    <row r="372" spans="1:6" hidden="1">
      <c r="A372" t="s">
        <v>34</v>
      </c>
      <c r="B372" t="s">
        <v>25</v>
      </c>
      <c r="C372" s="2">
        <v>46276</v>
      </c>
      <c r="D372" t="s">
        <v>47</v>
      </c>
      <c r="E372">
        <v>23620.65</v>
      </c>
      <c r="F372" s="3">
        <f t="shared" si="5"/>
        <v>23.620650000000001</v>
      </c>
    </row>
    <row r="373" spans="1:6" hidden="1">
      <c r="A373" t="s">
        <v>34</v>
      </c>
      <c r="B373" t="s">
        <v>25</v>
      </c>
      <c r="C373" s="2">
        <v>46266</v>
      </c>
      <c r="D373" t="s">
        <v>49</v>
      </c>
      <c r="E373">
        <v>10292.39</v>
      </c>
      <c r="F373" s="3">
        <f t="shared" si="5"/>
        <v>10.292389999999999</v>
      </c>
    </row>
    <row r="374" spans="1:6" hidden="1">
      <c r="A374" t="s">
        <v>34</v>
      </c>
      <c r="B374" t="s">
        <v>25</v>
      </c>
      <c r="C374" s="2">
        <v>46266</v>
      </c>
      <c r="D374" t="s">
        <v>51</v>
      </c>
      <c r="E374">
        <v>0</v>
      </c>
      <c r="F374" s="3">
        <f t="shared" si="5"/>
        <v>0</v>
      </c>
    </row>
    <row r="375" spans="1:6" hidden="1">
      <c r="A375" t="s">
        <v>34</v>
      </c>
      <c r="B375" t="s">
        <v>25</v>
      </c>
      <c r="C375" s="2">
        <v>46266</v>
      </c>
      <c r="D375" t="s">
        <v>50</v>
      </c>
      <c r="E375">
        <v>0</v>
      </c>
      <c r="F375" s="3">
        <f t="shared" si="5"/>
        <v>0</v>
      </c>
    </row>
    <row r="376" spans="1:6" hidden="1">
      <c r="A376" t="s">
        <v>34</v>
      </c>
      <c r="B376" t="s">
        <v>26</v>
      </c>
      <c r="C376" s="2">
        <v>46271</v>
      </c>
      <c r="D376" t="s">
        <v>45</v>
      </c>
      <c r="E376">
        <v>330392.40000000002</v>
      </c>
      <c r="F376" s="3">
        <f t="shared" si="5"/>
        <v>330.39240000000001</v>
      </c>
    </row>
    <row r="377" spans="1:6" hidden="1">
      <c r="A377" t="s">
        <v>34</v>
      </c>
      <c r="B377" t="s">
        <v>26</v>
      </c>
      <c r="C377" s="2">
        <v>46293</v>
      </c>
      <c r="D377" t="s">
        <v>46</v>
      </c>
      <c r="E377">
        <v>148768.13</v>
      </c>
      <c r="F377" s="3">
        <f t="shared" si="5"/>
        <v>148.76813000000001</v>
      </c>
    </row>
    <row r="378" spans="1:6" hidden="1">
      <c r="A378" t="s">
        <v>34</v>
      </c>
      <c r="B378" t="s">
        <v>26</v>
      </c>
      <c r="C378" s="2">
        <v>46267</v>
      </c>
      <c r="D378" t="s">
        <v>43</v>
      </c>
      <c r="E378">
        <v>135088.17000000001</v>
      </c>
      <c r="F378" s="3">
        <f t="shared" si="5"/>
        <v>135.08817000000002</v>
      </c>
    </row>
    <row r="379" spans="1:6" hidden="1">
      <c r="A379" t="s">
        <v>34</v>
      </c>
      <c r="B379" t="s">
        <v>26</v>
      </c>
      <c r="C379" s="2">
        <v>46269</v>
      </c>
      <c r="D379" t="s">
        <v>44</v>
      </c>
      <c r="E379">
        <v>98401.22</v>
      </c>
      <c r="F379" s="3">
        <f t="shared" si="5"/>
        <v>98.401219999999995</v>
      </c>
    </row>
    <row r="380" spans="1:6" hidden="1">
      <c r="A380" t="s">
        <v>34</v>
      </c>
      <c r="B380" t="s">
        <v>26</v>
      </c>
      <c r="C380" s="2">
        <v>46266</v>
      </c>
      <c r="D380" t="s">
        <v>48</v>
      </c>
      <c r="E380">
        <v>71345.210000000006</v>
      </c>
      <c r="F380" s="3">
        <f t="shared" si="5"/>
        <v>71.345210000000009</v>
      </c>
    </row>
    <row r="381" spans="1:6" hidden="1">
      <c r="A381" t="s">
        <v>34</v>
      </c>
      <c r="B381" t="s">
        <v>26</v>
      </c>
      <c r="C381" s="2">
        <v>46288</v>
      </c>
      <c r="D381" t="s">
        <v>47</v>
      </c>
      <c r="E381">
        <v>53031.99</v>
      </c>
      <c r="F381" s="3">
        <f t="shared" si="5"/>
        <v>53.03199</v>
      </c>
    </row>
    <row r="382" spans="1:6" hidden="1">
      <c r="A382" t="s">
        <v>34</v>
      </c>
      <c r="B382" t="s">
        <v>26</v>
      </c>
      <c r="C382" s="2">
        <v>46266</v>
      </c>
      <c r="D382" t="s">
        <v>49</v>
      </c>
      <c r="E382">
        <v>52164.37</v>
      </c>
      <c r="F382" s="3">
        <f t="shared" si="5"/>
        <v>52.164370000000005</v>
      </c>
    </row>
    <row r="383" spans="1:6" hidden="1">
      <c r="A383" t="s">
        <v>34</v>
      </c>
      <c r="B383" t="s">
        <v>26</v>
      </c>
      <c r="C383" s="2">
        <v>46293</v>
      </c>
      <c r="D383" t="s">
        <v>50</v>
      </c>
      <c r="E383">
        <v>3484.07</v>
      </c>
      <c r="F383" s="3">
        <f t="shared" si="5"/>
        <v>3.48407</v>
      </c>
    </row>
    <row r="384" spans="1:6" hidden="1">
      <c r="A384" t="s">
        <v>34</v>
      </c>
      <c r="B384" t="s">
        <v>26</v>
      </c>
      <c r="C384" s="2">
        <v>46266</v>
      </c>
      <c r="D384" t="s">
        <v>51</v>
      </c>
      <c r="E384">
        <v>0</v>
      </c>
      <c r="F384" s="3">
        <f t="shared" si="5"/>
        <v>0</v>
      </c>
    </row>
    <row r="385" spans="1:6" hidden="1">
      <c r="A385" t="s">
        <v>34</v>
      </c>
      <c r="B385" t="s">
        <v>27</v>
      </c>
      <c r="C385" s="2">
        <v>46269</v>
      </c>
      <c r="D385" t="s">
        <v>45</v>
      </c>
      <c r="E385">
        <v>219693.94</v>
      </c>
      <c r="F385" s="3">
        <f t="shared" si="5"/>
        <v>219.69394</v>
      </c>
    </row>
    <row r="386" spans="1:6" hidden="1">
      <c r="A386" t="s">
        <v>34</v>
      </c>
      <c r="B386" t="s">
        <v>27</v>
      </c>
      <c r="C386" s="2">
        <v>46291</v>
      </c>
      <c r="D386" t="s">
        <v>46</v>
      </c>
      <c r="E386">
        <v>97620.18</v>
      </c>
      <c r="F386" s="3">
        <f t="shared" si="5"/>
        <v>97.620179999999991</v>
      </c>
    </row>
    <row r="387" spans="1:6" hidden="1">
      <c r="A387" t="s">
        <v>34</v>
      </c>
      <c r="B387" t="s">
        <v>27</v>
      </c>
      <c r="C387" s="2">
        <v>46268</v>
      </c>
      <c r="D387" t="s">
        <v>43</v>
      </c>
      <c r="E387">
        <v>88899.37</v>
      </c>
      <c r="F387" s="3">
        <f t="shared" ref="F387:F450" si="6">E387/1000</f>
        <v>88.89936999999999</v>
      </c>
    </row>
    <row r="388" spans="1:6" hidden="1">
      <c r="A388" t="s">
        <v>34</v>
      </c>
      <c r="B388" t="s">
        <v>27</v>
      </c>
      <c r="C388" s="2">
        <v>46268</v>
      </c>
      <c r="D388" t="s">
        <v>44</v>
      </c>
      <c r="E388">
        <v>66190.679999999993</v>
      </c>
      <c r="F388" s="3">
        <f t="shared" si="6"/>
        <v>66.190679999999986</v>
      </c>
    </row>
    <row r="389" spans="1:6" hidden="1">
      <c r="A389" t="s">
        <v>34</v>
      </c>
      <c r="B389" t="s">
        <v>27</v>
      </c>
      <c r="C389" s="2">
        <v>46266</v>
      </c>
      <c r="D389" t="s">
        <v>48</v>
      </c>
      <c r="E389">
        <v>47797.66</v>
      </c>
      <c r="F389" s="3">
        <f t="shared" si="6"/>
        <v>47.79766</v>
      </c>
    </row>
    <row r="390" spans="1:6" hidden="1">
      <c r="A390" t="s">
        <v>34</v>
      </c>
      <c r="B390" t="s">
        <v>27</v>
      </c>
      <c r="C390" s="2">
        <v>46295</v>
      </c>
      <c r="D390" t="s">
        <v>47</v>
      </c>
      <c r="E390">
        <v>37718</v>
      </c>
      <c r="F390" s="3">
        <f t="shared" si="6"/>
        <v>37.718000000000004</v>
      </c>
    </row>
    <row r="391" spans="1:6" hidden="1">
      <c r="A391" t="s">
        <v>34</v>
      </c>
      <c r="B391" t="s">
        <v>27</v>
      </c>
      <c r="C391" s="2">
        <v>46269</v>
      </c>
      <c r="D391" t="s">
        <v>49</v>
      </c>
      <c r="E391">
        <v>33550.85</v>
      </c>
      <c r="F391" s="3">
        <f t="shared" si="6"/>
        <v>33.550849999999997</v>
      </c>
    </row>
    <row r="392" spans="1:6" hidden="1">
      <c r="A392" t="s">
        <v>34</v>
      </c>
      <c r="B392" t="s">
        <v>27</v>
      </c>
      <c r="C392" s="2">
        <v>46291</v>
      </c>
      <c r="D392" t="s">
        <v>50</v>
      </c>
      <c r="E392">
        <v>2306.15</v>
      </c>
      <c r="F392" s="3">
        <f t="shared" si="6"/>
        <v>2.3061500000000001</v>
      </c>
    </row>
    <row r="393" spans="1:6" hidden="1">
      <c r="A393" t="s">
        <v>34</v>
      </c>
      <c r="B393" t="s">
        <v>27</v>
      </c>
      <c r="C393" s="2">
        <v>46266</v>
      </c>
      <c r="D393" t="s">
        <v>51</v>
      </c>
      <c r="E393">
        <v>0</v>
      </c>
      <c r="F393" s="3">
        <f t="shared" si="6"/>
        <v>0</v>
      </c>
    </row>
    <row r="394" spans="1:6" hidden="1">
      <c r="A394" t="s">
        <v>34</v>
      </c>
      <c r="B394" t="s">
        <v>28</v>
      </c>
      <c r="C394" s="2">
        <v>46295</v>
      </c>
      <c r="D394" t="s">
        <v>44</v>
      </c>
      <c r="E394">
        <v>132885</v>
      </c>
      <c r="F394" s="3">
        <f t="shared" si="6"/>
        <v>132.88499999999999</v>
      </c>
    </row>
    <row r="395" spans="1:6" hidden="1">
      <c r="A395" t="s">
        <v>34</v>
      </c>
      <c r="B395" t="s">
        <v>28</v>
      </c>
      <c r="C395" s="2">
        <v>46291</v>
      </c>
      <c r="D395" t="s">
        <v>46</v>
      </c>
      <c r="E395">
        <v>122387.93</v>
      </c>
      <c r="F395" s="3">
        <f t="shared" si="6"/>
        <v>122.38793</v>
      </c>
    </row>
    <row r="396" spans="1:6" hidden="1">
      <c r="A396" t="s">
        <v>34</v>
      </c>
      <c r="B396" t="s">
        <v>28</v>
      </c>
      <c r="C396" s="2">
        <v>46267</v>
      </c>
      <c r="D396" t="s">
        <v>45</v>
      </c>
      <c r="E396">
        <v>77892.47</v>
      </c>
      <c r="F396" s="3">
        <f t="shared" si="6"/>
        <v>77.892470000000003</v>
      </c>
    </row>
    <row r="397" spans="1:6" hidden="1">
      <c r="A397" t="s">
        <v>34</v>
      </c>
      <c r="B397" t="s">
        <v>28</v>
      </c>
      <c r="C397" s="2">
        <v>46267</v>
      </c>
      <c r="D397" t="s">
        <v>48</v>
      </c>
      <c r="E397">
        <v>72856.72</v>
      </c>
      <c r="F397" s="3">
        <f t="shared" si="6"/>
        <v>72.856719999999996</v>
      </c>
    </row>
    <row r="398" spans="1:6" hidden="1">
      <c r="A398" t="s">
        <v>34</v>
      </c>
      <c r="B398" t="s">
        <v>28</v>
      </c>
      <c r="C398" s="2">
        <v>46295</v>
      </c>
      <c r="D398" t="s">
        <v>43</v>
      </c>
      <c r="E398">
        <v>49740.09</v>
      </c>
      <c r="F398" s="3">
        <f t="shared" si="6"/>
        <v>49.740089999999995</v>
      </c>
    </row>
    <row r="399" spans="1:6" hidden="1">
      <c r="A399" t="s">
        <v>34</v>
      </c>
      <c r="B399" t="s">
        <v>28</v>
      </c>
      <c r="C399" s="2">
        <v>46295</v>
      </c>
      <c r="D399" t="s">
        <v>47</v>
      </c>
      <c r="E399">
        <v>28666.34</v>
      </c>
      <c r="F399" s="3">
        <f t="shared" si="6"/>
        <v>28.666340000000002</v>
      </c>
    </row>
    <row r="400" spans="1:6" hidden="1">
      <c r="A400" t="s">
        <v>34</v>
      </c>
      <c r="B400" t="s">
        <v>28</v>
      </c>
      <c r="C400" s="2">
        <v>46267</v>
      </c>
      <c r="D400" t="s">
        <v>49</v>
      </c>
      <c r="E400">
        <v>22110.959999999999</v>
      </c>
      <c r="F400" s="3">
        <f t="shared" si="6"/>
        <v>22.110959999999999</v>
      </c>
    </row>
    <row r="401" spans="1:6" hidden="1">
      <c r="A401" t="s">
        <v>34</v>
      </c>
      <c r="B401" t="s">
        <v>28</v>
      </c>
      <c r="C401" s="2">
        <v>46295</v>
      </c>
      <c r="D401" t="s">
        <v>50</v>
      </c>
      <c r="E401">
        <v>2875.15</v>
      </c>
      <c r="F401" s="3">
        <f t="shared" si="6"/>
        <v>2.8751500000000001</v>
      </c>
    </row>
    <row r="402" spans="1:6" hidden="1">
      <c r="A402" t="s">
        <v>34</v>
      </c>
      <c r="B402" t="s">
        <v>28</v>
      </c>
      <c r="C402" s="2">
        <v>46266</v>
      </c>
      <c r="D402" t="s">
        <v>51</v>
      </c>
      <c r="E402">
        <v>0</v>
      </c>
      <c r="F402" s="3">
        <f t="shared" si="6"/>
        <v>0</v>
      </c>
    </row>
    <row r="403" spans="1:6" hidden="1">
      <c r="A403" t="s">
        <v>34</v>
      </c>
      <c r="B403" t="s">
        <v>29</v>
      </c>
      <c r="C403" s="2">
        <v>46268</v>
      </c>
      <c r="D403" t="s">
        <v>45</v>
      </c>
      <c r="E403">
        <v>381435.85</v>
      </c>
      <c r="F403" s="3">
        <f t="shared" si="6"/>
        <v>381.43584999999996</v>
      </c>
    </row>
    <row r="404" spans="1:6" hidden="1">
      <c r="A404" t="s">
        <v>34</v>
      </c>
      <c r="B404" t="s">
        <v>29</v>
      </c>
      <c r="C404" s="2">
        <v>46291</v>
      </c>
      <c r="D404" t="s">
        <v>46</v>
      </c>
      <c r="E404">
        <v>230196.76</v>
      </c>
      <c r="F404" s="3">
        <f t="shared" si="6"/>
        <v>230.19676000000001</v>
      </c>
    </row>
    <row r="405" spans="1:6" hidden="1">
      <c r="A405" t="s">
        <v>34</v>
      </c>
      <c r="B405" t="s">
        <v>29</v>
      </c>
      <c r="C405" s="2">
        <v>46266</v>
      </c>
      <c r="D405" t="s">
        <v>44</v>
      </c>
      <c r="E405">
        <v>224010.44</v>
      </c>
      <c r="F405" s="3">
        <f t="shared" si="6"/>
        <v>224.01043999999999</v>
      </c>
    </row>
    <row r="406" spans="1:6" hidden="1">
      <c r="A406" t="s">
        <v>34</v>
      </c>
      <c r="B406" t="s">
        <v>29</v>
      </c>
      <c r="C406" s="2">
        <v>46268</v>
      </c>
      <c r="D406" t="s">
        <v>43</v>
      </c>
      <c r="E406">
        <v>207415.46</v>
      </c>
      <c r="F406" s="3">
        <f t="shared" si="6"/>
        <v>207.41546</v>
      </c>
    </row>
    <row r="407" spans="1:6" hidden="1">
      <c r="A407" t="s">
        <v>34</v>
      </c>
      <c r="B407" t="s">
        <v>29</v>
      </c>
      <c r="C407" s="2">
        <v>46266</v>
      </c>
      <c r="D407" t="s">
        <v>48</v>
      </c>
      <c r="E407">
        <v>127783.42</v>
      </c>
      <c r="F407" s="3">
        <f t="shared" si="6"/>
        <v>127.78341999999999</v>
      </c>
    </row>
    <row r="408" spans="1:6" hidden="1">
      <c r="A408" t="s">
        <v>34</v>
      </c>
      <c r="B408" t="s">
        <v>29</v>
      </c>
      <c r="C408" s="2">
        <v>46291</v>
      </c>
      <c r="D408" t="s">
        <v>47</v>
      </c>
      <c r="E408">
        <v>69158.13</v>
      </c>
      <c r="F408" s="3">
        <f t="shared" si="6"/>
        <v>69.15813</v>
      </c>
    </row>
    <row r="409" spans="1:6" hidden="1">
      <c r="A409" t="s">
        <v>34</v>
      </c>
      <c r="B409" t="s">
        <v>29</v>
      </c>
      <c r="C409" s="2">
        <v>46268</v>
      </c>
      <c r="D409" t="s">
        <v>49</v>
      </c>
      <c r="E409">
        <v>60644.4</v>
      </c>
      <c r="F409" s="3">
        <f t="shared" si="6"/>
        <v>60.644400000000005</v>
      </c>
    </row>
    <row r="410" spans="1:6" hidden="1">
      <c r="A410" t="s">
        <v>34</v>
      </c>
      <c r="B410" t="s">
        <v>29</v>
      </c>
      <c r="C410" s="2">
        <v>46285</v>
      </c>
      <c r="D410" t="s">
        <v>50</v>
      </c>
      <c r="E410">
        <v>8657.27</v>
      </c>
      <c r="F410" s="3">
        <f t="shared" si="6"/>
        <v>8.6572700000000005</v>
      </c>
    </row>
    <row r="411" spans="1:6" hidden="1">
      <c r="A411" t="s">
        <v>34</v>
      </c>
      <c r="B411" t="s">
        <v>29</v>
      </c>
      <c r="C411" s="2">
        <v>46266</v>
      </c>
      <c r="D411" t="s">
        <v>51</v>
      </c>
      <c r="E411">
        <v>0</v>
      </c>
      <c r="F411" s="3">
        <f t="shared" si="6"/>
        <v>0</v>
      </c>
    </row>
    <row r="412" spans="1:6" hidden="1">
      <c r="A412" t="s">
        <v>34</v>
      </c>
      <c r="B412" t="s">
        <v>30</v>
      </c>
      <c r="C412" s="2">
        <v>46276</v>
      </c>
      <c r="D412" t="s">
        <v>45</v>
      </c>
      <c r="E412">
        <v>255915.06</v>
      </c>
      <c r="F412" s="3">
        <f t="shared" si="6"/>
        <v>255.91506000000001</v>
      </c>
    </row>
    <row r="413" spans="1:6" hidden="1">
      <c r="A413" t="s">
        <v>34</v>
      </c>
      <c r="B413" t="s">
        <v>30</v>
      </c>
      <c r="C413" s="2">
        <v>46288</v>
      </c>
      <c r="D413" t="s">
        <v>46</v>
      </c>
      <c r="E413">
        <v>156881.39000000001</v>
      </c>
      <c r="F413" s="3">
        <f t="shared" si="6"/>
        <v>156.88139000000001</v>
      </c>
    </row>
    <row r="414" spans="1:6" hidden="1">
      <c r="A414" t="s">
        <v>34</v>
      </c>
      <c r="B414" t="s">
        <v>30</v>
      </c>
      <c r="C414" s="2">
        <v>46267</v>
      </c>
      <c r="D414" t="s">
        <v>43</v>
      </c>
      <c r="E414">
        <v>135266.25</v>
      </c>
      <c r="F414" s="3">
        <f t="shared" si="6"/>
        <v>135.26625000000001</v>
      </c>
    </row>
    <row r="415" spans="1:6" hidden="1">
      <c r="A415" t="s">
        <v>34</v>
      </c>
      <c r="B415" t="s">
        <v>30</v>
      </c>
      <c r="C415" s="2">
        <v>46266</v>
      </c>
      <c r="D415" t="s">
        <v>44</v>
      </c>
      <c r="E415">
        <v>124856.43</v>
      </c>
      <c r="F415" s="3">
        <f t="shared" si="6"/>
        <v>124.85642999999999</v>
      </c>
    </row>
    <row r="416" spans="1:6" hidden="1">
      <c r="A416" t="s">
        <v>34</v>
      </c>
      <c r="B416" t="s">
        <v>30</v>
      </c>
      <c r="C416" s="2">
        <v>46267</v>
      </c>
      <c r="D416" t="s">
        <v>48</v>
      </c>
      <c r="E416">
        <v>88146.21</v>
      </c>
      <c r="F416" s="3">
        <f t="shared" si="6"/>
        <v>88.146210000000011</v>
      </c>
    </row>
    <row r="417" spans="1:6" hidden="1">
      <c r="A417" t="s">
        <v>34</v>
      </c>
      <c r="B417" t="s">
        <v>30</v>
      </c>
      <c r="C417" s="2">
        <v>46292</v>
      </c>
      <c r="D417" t="s">
        <v>47</v>
      </c>
      <c r="E417">
        <v>42533.1</v>
      </c>
      <c r="F417" s="3">
        <f t="shared" si="6"/>
        <v>42.533099999999997</v>
      </c>
    </row>
    <row r="418" spans="1:6" hidden="1">
      <c r="A418" t="s">
        <v>34</v>
      </c>
      <c r="B418" t="s">
        <v>30</v>
      </c>
      <c r="C418" s="2">
        <v>46267</v>
      </c>
      <c r="D418" t="s">
        <v>49</v>
      </c>
      <c r="E418">
        <v>39659.74</v>
      </c>
      <c r="F418" s="3">
        <f t="shared" si="6"/>
        <v>39.659739999999999</v>
      </c>
    </row>
    <row r="419" spans="1:6" hidden="1">
      <c r="A419" t="s">
        <v>34</v>
      </c>
      <c r="B419" t="s">
        <v>30</v>
      </c>
      <c r="C419" s="2">
        <v>46283</v>
      </c>
      <c r="D419" t="s">
        <v>50</v>
      </c>
      <c r="E419">
        <v>5941.31</v>
      </c>
      <c r="F419" s="3">
        <f t="shared" si="6"/>
        <v>5.9413100000000005</v>
      </c>
    </row>
    <row r="420" spans="1:6" hidden="1">
      <c r="A420" t="s">
        <v>34</v>
      </c>
      <c r="B420" t="s">
        <v>30</v>
      </c>
      <c r="C420" s="2">
        <v>46266</v>
      </c>
      <c r="D420" t="s">
        <v>51</v>
      </c>
      <c r="E420">
        <v>0</v>
      </c>
      <c r="F420" s="3">
        <f t="shared" si="6"/>
        <v>0</v>
      </c>
    </row>
    <row r="421" spans="1:6" hidden="1">
      <c r="A421" t="s">
        <v>34</v>
      </c>
      <c r="B421" t="s">
        <v>31</v>
      </c>
      <c r="C421" s="2">
        <v>46268</v>
      </c>
      <c r="D421" t="s">
        <v>45</v>
      </c>
      <c r="E421">
        <v>320282.7</v>
      </c>
      <c r="F421" s="3">
        <f t="shared" si="6"/>
        <v>320.28270000000003</v>
      </c>
    </row>
    <row r="422" spans="1:6" hidden="1">
      <c r="A422" t="s">
        <v>34</v>
      </c>
      <c r="B422" t="s">
        <v>31</v>
      </c>
      <c r="C422" s="2">
        <v>46289</v>
      </c>
      <c r="D422" t="s">
        <v>46</v>
      </c>
      <c r="E422">
        <v>207876.45</v>
      </c>
      <c r="F422" s="3">
        <f t="shared" si="6"/>
        <v>207.87645000000001</v>
      </c>
    </row>
    <row r="423" spans="1:6" hidden="1">
      <c r="A423" t="s">
        <v>34</v>
      </c>
      <c r="B423" t="s">
        <v>31</v>
      </c>
      <c r="C423" s="2">
        <v>46268</v>
      </c>
      <c r="D423" t="s">
        <v>43</v>
      </c>
      <c r="E423">
        <v>166210.93</v>
      </c>
      <c r="F423" s="3">
        <f t="shared" si="6"/>
        <v>166.21092999999999</v>
      </c>
    </row>
    <row r="424" spans="1:6" hidden="1">
      <c r="A424" t="s">
        <v>34</v>
      </c>
      <c r="B424" t="s">
        <v>31</v>
      </c>
      <c r="C424" s="2">
        <v>46266</v>
      </c>
      <c r="D424" t="s">
        <v>44</v>
      </c>
      <c r="E424">
        <v>160573.19</v>
      </c>
      <c r="F424" s="3">
        <f t="shared" si="6"/>
        <v>160.57319000000001</v>
      </c>
    </row>
    <row r="425" spans="1:6" hidden="1">
      <c r="A425" t="s">
        <v>34</v>
      </c>
      <c r="B425" t="s">
        <v>31</v>
      </c>
      <c r="C425" s="2">
        <v>46266</v>
      </c>
      <c r="D425" t="s">
        <v>48</v>
      </c>
      <c r="E425">
        <v>106350.18</v>
      </c>
      <c r="F425" s="3">
        <f t="shared" si="6"/>
        <v>106.35017999999999</v>
      </c>
    </row>
    <row r="426" spans="1:6" hidden="1">
      <c r="A426" t="s">
        <v>34</v>
      </c>
      <c r="B426" t="s">
        <v>31</v>
      </c>
      <c r="C426" s="2">
        <v>46289</v>
      </c>
      <c r="D426" t="s">
        <v>47</v>
      </c>
      <c r="E426">
        <v>55949.37</v>
      </c>
      <c r="F426" s="3">
        <f t="shared" si="6"/>
        <v>55.949370000000002</v>
      </c>
    </row>
    <row r="427" spans="1:6" hidden="1">
      <c r="A427" t="s">
        <v>34</v>
      </c>
      <c r="B427" t="s">
        <v>31</v>
      </c>
      <c r="C427" s="2">
        <v>46268</v>
      </c>
      <c r="D427" t="s">
        <v>49</v>
      </c>
      <c r="E427">
        <v>49996.34</v>
      </c>
      <c r="F427" s="3">
        <f t="shared" si="6"/>
        <v>49.996339999999996</v>
      </c>
    </row>
    <row r="428" spans="1:6" hidden="1">
      <c r="A428" t="s">
        <v>34</v>
      </c>
      <c r="B428" t="s">
        <v>31</v>
      </c>
      <c r="C428" s="2">
        <v>46284</v>
      </c>
      <c r="D428" t="s">
        <v>50</v>
      </c>
      <c r="E428">
        <v>7407.18</v>
      </c>
      <c r="F428" s="3">
        <f t="shared" si="6"/>
        <v>7.4071800000000003</v>
      </c>
    </row>
    <row r="429" spans="1:6" hidden="1">
      <c r="A429" t="s">
        <v>34</v>
      </c>
      <c r="B429" t="s">
        <v>31</v>
      </c>
      <c r="C429" s="2">
        <v>46266</v>
      </c>
      <c r="D429" t="s">
        <v>51</v>
      </c>
      <c r="E429">
        <v>0</v>
      </c>
      <c r="F429" s="3">
        <f t="shared" si="6"/>
        <v>0</v>
      </c>
    </row>
    <row r="430" spans="1:6">
      <c r="A430" t="s">
        <v>35</v>
      </c>
      <c r="B430" t="s">
        <v>20</v>
      </c>
      <c r="C430" s="2">
        <v>46320</v>
      </c>
      <c r="D430" t="s">
        <v>44</v>
      </c>
      <c r="E430">
        <v>296541.86</v>
      </c>
      <c r="F430" s="3">
        <f t="shared" si="6"/>
        <v>296.54185999999999</v>
      </c>
    </row>
    <row r="431" spans="1:6">
      <c r="A431" t="s">
        <v>35</v>
      </c>
      <c r="B431" t="s">
        <v>20</v>
      </c>
      <c r="C431" s="2">
        <v>46317</v>
      </c>
      <c r="D431" t="s">
        <v>46</v>
      </c>
      <c r="E431">
        <v>217235.25</v>
      </c>
      <c r="F431" s="3">
        <f t="shared" si="6"/>
        <v>217.23525000000001</v>
      </c>
    </row>
    <row r="432" spans="1:6">
      <c r="A432" t="s">
        <v>35</v>
      </c>
      <c r="B432" t="s">
        <v>20</v>
      </c>
      <c r="C432" s="2">
        <v>46317</v>
      </c>
      <c r="D432" t="s">
        <v>43</v>
      </c>
      <c r="E432">
        <v>199177.14</v>
      </c>
      <c r="F432" s="3">
        <f t="shared" si="6"/>
        <v>199.17714000000001</v>
      </c>
    </row>
    <row r="433" spans="1:6">
      <c r="A433" t="s">
        <v>35</v>
      </c>
      <c r="B433" t="s">
        <v>20</v>
      </c>
      <c r="C433" s="2">
        <v>46321</v>
      </c>
      <c r="D433" t="s">
        <v>45</v>
      </c>
      <c r="E433">
        <v>183710.33</v>
      </c>
      <c r="F433" s="3">
        <f t="shared" si="6"/>
        <v>183.71033</v>
      </c>
    </row>
    <row r="434" spans="1:6">
      <c r="A434" t="s">
        <v>35</v>
      </c>
      <c r="B434" t="s">
        <v>20</v>
      </c>
      <c r="C434" s="2">
        <v>46297</v>
      </c>
      <c r="D434" t="s">
        <v>48</v>
      </c>
      <c r="E434">
        <v>98464.48</v>
      </c>
      <c r="F434" s="3">
        <f t="shared" si="6"/>
        <v>98.464479999999995</v>
      </c>
    </row>
    <row r="435" spans="1:6">
      <c r="A435" t="s">
        <v>35</v>
      </c>
      <c r="B435" t="s">
        <v>20</v>
      </c>
      <c r="C435" s="2">
        <v>46315</v>
      </c>
      <c r="D435" t="s">
        <v>47</v>
      </c>
      <c r="E435">
        <v>83123.41</v>
      </c>
      <c r="F435" s="3">
        <f t="shared" si="6"/>
        <v>83.123410000000007</v>
      </c>
    </row>
    <row r="436" spans="1:6">
      <c r="A436" t="s">
        <v>35</v>
      </c>
      <c r="B436" t="s">
        <v>20</v>
      </c>
      <c r="C436" s="2">
        <v>46320</v>
      </c>
      <c r="D436" t="s">
        <v>49</v>
      </c>
      <c r="E436">
        <v>45106.73</v>
      </c>
      <c r="F436" s="3">
        <f t="shared" si="6"/>
        <v>45.106730000000006</v>
      </c>
    </row>
    <row r="437" spans="1:6">
      <c r="A437" t="s">
        <v>35</v>
      </c>
      <c r="B437" t="s">
        <v>20</v>
      </c>
      <c r="C437" s="2">
        <v>46298</v>
      </c>
      <c r="D437" t="s">
        <v>50</v>
      </c>
      <c r="E437">
        <v>13780.55</v>
      </c>
      <c r="F437" s="3">
        <f t="shared" si="6"/>
        <v>13.78055</v>
      </c>
    </row>
    <row r="438" spans="1:6">
      <c r="A438" t="s">
        <v>35</v>
      </c>
      <c r="B438" t="s">
        <v>21</v>
      </c>
      <c r="C438" s="2">
        <v>46316</v>
      </c>
      <c r="D438" t="s">
        <v>46</v>
      </c>
      <c r="E438">
        <v>267607.69</v>
      </c>
      <c r="F438" s="3">
        <f t="shared" si="6"/>
        <v>267.60768999999999</v>
      </c>
    </row>
    <row r="439" spans="1:6">
      <c r="A439" t="s">
        <v>35</v>
      </c>
      <c r="B439" t="s">
        <v>21</v>
      </c>
      <c r="C439" s="2">
        <v>46316</v>
      </c>
      <c r="D439" t="s">
        <v>43</v>
      </c>
      <c r="E439">
        <v>248412.97</v>
      </c>
      <c r="F439" s="3">
        <f t="shared" si="6"/>
        <v>248.41297</v>
      </c>
    </row>
    <row r="440" spans="1:6">
      <c r="A440" t="s">
        <v>35</v>
      </c>
      <c r="B440" t="s">
        <v>21</v>
      </c>
      <c r="C440" s="2">
        <v>46319</v>
      </c>
      <c r="D440" t="s">
        <v>45</v>
      </c>
      <c r="E440">
        <v>198997.21</v>
      </c>
      <c r="F440" s="3">
        <f t="shared" si="6"/>
        <v>198.99721</v>
      </c>
    </row>
    <row r="441" spans="1:6">
      <c r="A441" t="s">
        <v>35</v>
      </c>
      <c r="B441" t="s">
        <v>21</v>
      </c>
      <c r="C441" s="2">
        <v>46298</v>
      </c>
      <c r="D441" t="s">
        <v>50</v>
      </c>
      <c r="E441">
        <v>136166.34</v>
      </c>
      <c r="F441" s="3">
        <f t="shared" si="6"/>
        <v>136.16633999999999</v>
      </c>
    </row>
    <row r="442" spans="1:6">
      <c r="A442" t="s">
        <v>35</v>
      </c>
      <c r="B442" t="s">
        <v>21</v>
      </c>
      <c r="C442" s="2">
        <v>46299</v>
      </c>
      <c r="D442" t="s">
        <v>48</v>
      </c>
      <c r="E442">
        <v>107995.88</v>
      </c>
      <c r="F442" s="3">
        <f t="shared" si="6"/>
        <v>107.99588</v>
      </c>
    </row>
    <row r="443" spans="1:6">
      <c r="A443" t="s">
        <v>35</v>
      </c>
      <c r="B443" t="s">
        <v>21</v>
      </c>
      <c r="C443" s="2">
        <v>46314</v>
      </c>
      <c r="D443" t="s">
        <v>47</v>
      </c>
      <c r="E443">
        <v>81786.149999999994</v>
      </c>
      <c r="F443" s="3">
        <f t="shared" si="6"/>
        <v>81.786149999999992</v>
      </c>
    </row>
    <row r="444" spans="1:6">
      <c r="A444" t="s">
        <v>35</v>
      </c>
      <c r="B444" t="s">
        <v>21</v>
      </c>
      <c r="C444" s="2">
        <v>46326</v>
      </c>
      <c r="D444" t="s">
        <v>49</v>
      </c>
      <c r="E444">
        <v>30484.85</v>
      </c>
      <c r="F444" s="3">
        <f t="shared" si="6"/>
        <v>30.484849999999998</v>
      </c>
    </row>
    <row r="445" spans="1:6">
      <c r="A445" t="s">
        <v>35</v>
      </c>
      <c r="B445" t="s">
        <v>21</v>
      </c>
      <c r="C445" s="2">
        <v>46316</v>
      </c>
      <c r="D445" t="s">
        <v>44</v>
      </c>
      <c r="E445">
        <v>19131.060000000001</v>
      </c>
      <c r="F445" s="3">
        <f t="shared" si="6"/>
        <v>19.131060000000002</v>
      </c>
    </row>
    <row r="446" spans="1:6">
      <c r="A446" t="s">
        <v>35</v>
      </c>
      <c r="B446" t="s">
        <v>21</v>
      </c>
      <c r="C446" s="2">
        <v>46296</v>
      </c>
      <c r="D446" t="s">
        <v>51</v>
      </c>
      <c r="E446">
        <v>0</v>
      </c>
      <c r="F446" s="3">
        <f t="shared" si="6"/>
        <v>0</v>
      </c>
    </row>
    <row r="447" spans="1:6">
      <c r="A447" t="s">
        <v>35</v>
      </c>
      <c r="B447" t="s">
        <v>22</v>
      </c>
      <c r="C447" s="2">
        <v>46316</v>
      </c>
      <c r="D447" t="s">
        <v>46</v>
      </c>
      <c r="E447">
        <v>480989.94</v>
      </c>
      <c r="F447" s="3">
        <f t="shared" si="6"/>
        <v>480.98993999999999</v>
      </c>
    </row>
    <row r="448" spans="1:6">
      <c r="A448" t="s">
        <v>35</v>
      </c>
      <c r="B448" t="s">
        <v>22</v>
      </c>
      <c r="C448" s="2">
        <v>46325</v>
      </c>
      <c r="D448" t="s">
        <v>45</v>
      </c>
      <c r="E448">
        <v>305222.21000000002</v>
      </c>
      <c r="F448" s="3">
        <f t="shared" si="6"/>
        <v>305.22221000000002</v>
      </c>
    </row>
    <row r="449" spans="1:6">
      <c r="A449" t="s">
        <v>35</v>
      </c>
      <c r="B449" t="s">
        <v>22</v>
      </c>
      <c r="C449" s="2">
        <v>46316</v>
      </c>
      <c r="D449" t="s">
        <v>43</v>
      </c>
      <c r="E449">
        <v>300506.13</v>
      </c>
      <c r="F449" s="3">
        <f t="shared" si="6"/>
        <v>300.50612999999998</v>
      </c>
    </row>
    <row r="450" spans="1:6">
      <c r="A450" t="s">
        <v>35</v>
      </c>
      <c r="B450" t="s">
        <v>22</v>
      </c>
      <c r="C450" s="2">
        <v>46326</v>
      </c>
      <c r="D450" t="s">
        <v>44</v>
      </c>
      <c r="E450">
        <v>237814.37</v>
      </c>
      <c r="F450" s="3">
        <f t="shared" si="6"/>
        <v>237.81437</v>
      </c>
    </row>
    <row r="451" spans="1:6">
      <c r="A451" t="s">
        <v>35</v>
      </c>
      <c r="B451" t="s">
        <v>22</v>
      </c>
      <c r="C451" s="2">
        <v>46316</v>
      </c>
      <c r="D451" t="s">
        <v>47</v>
      </c>
      <c r="E451">
        <v>81641.27</v>
      </c>
      <c r="F451" s="3">
        <f t="shared" ref="F451:F514" si="7">E451/1000</f>
        <v>81.641270000000006</v>
      </c>
    </row>
    <row r="452" spans="1:6">
      <c r="A452" t="s">
        <v>35</v>
      </c>
      <c r="B452" t="s">
        <v>22</v>
      </c>
      <c r="C452" s="2">
        <v>46296</v>
      </c>
      <c r="D452" t="s">
        <v>48</v>
      </c>
      <c r="E452">
        <v>79680.31</v>
      </c>
      <c r="F452" s="3">
        <f t="shared" si="7"/>
        <v>79.680309999999992</v>
      </c>
    </row>
    <row r="453" spans="1:6">
      <c r="A453" t="s">
        <v>35</v>
      </c>
      <c r="B453" t="s">
        <v>22</v>
      </c>
      <c r="C453" s="2">
        <v>46320</v>
      </c>
      <c r="D453" t="s">
        <v>49</v>
      </c>
      <c r="E453">
        <v>33586.26</v>
      </c>
      <c r="F453" s="3">
        <f t="shared" si="7"/>
        <v>33.586260000000003</v>
      </c>
    </row>
    <row r="454" spans="1:6">
      <c r="A454" t="s">
        <v>35</v>
      </c>
      <c r="B454" t="s">
        <v>22</v>
      </c>
      <c r="C454" s="2">
        <v>46305</v>
      </c>
      <c r="D454" t="s">
        <v>50</v>
      </c>
      <c r="E454">
        <v>8118.48</v>
      </c>
      <c r="F454" s="3">
        <f t="shared" si="7"/>
        <v>8.1184799999999999</v>
      </c>
    </row>
    <row r="455" spans="1:6">
      <c r="A455" t="s">
        <v>35</v>
      </c>
      <c r="B455" t="s">
        <v>22</v>
      </c>
      <c r="C455" s="2">
        <v>46296</v>
      </c>
      <c r="D455" t="s">
        <v>51</v>
      </c>
      <c r="E455">
        <v>0</v>
      </c>
      <c r="F455" s="3">
        <f t="shared" si="7"/>
        <v>0</v>
      </c>
    </row>
    <row r="456" spans="1:6">
      <c r="A456" t="s">
        <v>35</v>
      </c>
      <c r="B456" t="s">
        <v>23</v>
      </c>
      <c r="C456" s="2">
        <v>46322</v>
      </c>
      <c r="D456" t="s">
        <v>48</v>
      </c>
      <c r="E456">
        <v>283930.33</v>
      </c>
      <c r="F456" s="3">
        <f t="shared" si="7"/>
        <v>283.93033000000003</v>
      </c>
    </row>
    <row r="457" spans="1:6">
      <c r="A457" t="s">
        <v>35</v>
      </c>
      <c r="B457" t="s">
        <v>23</v>
      </c>
      <c r="C457" s="2">
        <v>46322</v>
      </c>
      <c r="D457" t="s">
        <v>45</v>
      </c>
      <c r="E457">
        <v>132189.75</v>
      </c>
      <c r="F457" s="3">
        <f t="shared" si="7"/>
        <v>132.18975</v>
      </c>
    </row>
    <row r="458" spans="1:6">
      <c r="A458" t="s">
        <v>35</v>
      </c>
      <c r="B458" t="s">
        <v>23</v>
      </c>
      <c r="C458" s="2">
        <v>46322</v>
      </c>
      <c r="D458" t="s">
        <v>44</v>
      </c>
      <c r="E458">
        <v>126589.77</v>
      </c>
      <c r="F458" s="3">
        <f t="shared" si="7"/>
        <v>126.58977</v>
      </c>
    </row>
    <row r="459" spans="1:6">
      <c r="A459" t="s">
        <v>35</v>
      </c>
      <c r="B459" t="s">
        <v>23</v>
      </c>
      <c r="C459" s="2">
        <v>46321</v>
      </c>
      <c r="D459" t="s">
        <v>43</v>
      </c>
      <c r="E459">
        <v>112529.26</v>
      </c>
      <c r="F459" s="3">
        <f t="shared" si="7"/>
        <v>112.52925999999999</v>
      </c>
    </row>
    <row r="460" spans="1:6">
      <c r="A460" t="s">
        <v>35</v>
      </c>
      <c r="B460" t="s">
        <v>23</v>
      </c>
      <c r="C460" s="2">
        <v>46321</v>
      </c>
      <c r="D460" t="s">
        <v>46</v>
      </c>
      <c r="E460">
        <v>44240.22</v>
      </c>
      <c r="F460" s="3">
        <f t="shared" si="7"/>
        <v>44.240220000000001</v>
      </c>
    </row>
    <row r="461" spans="1:6">
      <c r="A461" t="s">
        <v>35</v>
      </c>
      <c r="B461" t="s">
        <v>23</v>
      </c>
      <c r="C461" s="2">
        <v>46321</v>
      </c>
      <c r="D461" t="s">
        <v>47</v>
      </c>
      <c r="E461">
        <v>44125.120000000003</v>
      </c>
      <c r="F461" s="3">
        <f t="shared" si="7"/>
        <v>44.125120000000003</v>
      </c>
    </row>
    <row r="462" spans="1:6">
      <c r="A462" t="s">
        <v>35</v>
      </c>
      <c r="B462" t="s">
        <v>23</v>
      </c>
      <c r="C462" s="2">
        <v>46322</v>
      </c>
      <c r="D462" t="s">
        <v>49</v>
      </c>
      <c r="E462">
        <v>29784.65</v>
      </c>
      <c r="F462" s="3">
        <f t="shared" si="7"/>
        <v>29.784650000000003</v>
      </c>
    </row>
    <row r="463" spans="1:6">
      <c r="A463" t="s">
        <v>35</v>
      </c>
      <c r="B463" t="s">
        <v>23</v>
      </c>
      <c r="C463" s="2">
        <v>46321</v>
      </c>
      <c r="D463" t="s">
        <v>50</v>
      </c>
      <c r="E463">
        <v>5723.87</v>
      </c>
      <c r="F463" s="3">
        <f t="shared" si="7"/>
        <v>5.7238699999999998</v>
      </c>
    </row>
    <row r="464" spans="1:6">
      <c r="A464" t="s">
        <v>35</v>
      </c>
      <c r="B464" t="s">
        <v>23</v>
      </c>
      <c r="C464" s="2">
        <v>46296</v>
      </c>
      <c r="D464" t="s">
        <v>51</v>
      </c>
      <c r="E464">
        <v>0</v>
      </c>
      <c r="F464" s="3">
        <f t="shared" si="7"/>
        <v>0</v>
      </c>
    </row>
    <row r="465" spans="1:6">
      <c r="A465" t="s">
        <v>35</v>
      </c>
      <c r="B465" t="s">
        <v>24</v>
      </c>
      <c r="C465" s="2">
        <v>46301</v>
      </c>
      <c r="D465" t="s">
        <v>48</v>
      </c>
      <c r="E465">
        <v>685443.43</v>
      </c>
      <c r="F465" s="3">
        <f t="shared" si="7"/>
        <v>685.44343000000003</v>
      </c>
    </row>
    <row r="466" spans="1:6">
      <c r="A466" t="s">
        <v>35</v>
      </c>
      <c r="B466" t="s">
        <v>24</v>
      </c>
      <c r="C466" s="2">
        <v>46297</v>
      </c>
      <c r="D466" t="s">
        <v>45</v>
      </c>
      <c r="E466">
        <v>252205.7</v>
      </c>
      <c r="F466" s="3">
        <f t="shared" si="7"/>
        <v>252.20570000000001</v>
      </c>
    </row>
    <row r="467" spans="1:6">
      <c r="A467" t="s">
        <v>35</v>
      </c>
      <c r="B467" t="s">
        <v>24</v>
      </c>
      <c r="C467" s="2">
        <v>46318</v>
      </c>
      <c r="D467" t="s">
        <v>44</v>
      </c>
      <c r="E467">
        <v>199400.54</v>
      </c>
      <c r="F467" s="3">
        <f t="shared" si="7"/>
        <v>199.40054000000001</v>
      </c>
    </row>
    <row r="468" spans="1:6">
      <c r="A468" t="s">
        <v>35</v>
      </c>
      <c r="B468" t="s">
        <v>24</v>
      </c>
      <c r="C468" s="2">
        <v>46319</v>
      </c>
      <c r="D468" t="s">
        <v>43</v>
      </c>
      <c r="E468">
        <v>170107.58</v>
      </c>
      <c r="F468" s="3">
        <f t="shared" si="7"/>
        <v>170.10757999999998</v>
      </c>
    </row>
    <row r="469" spans="1:6">
      <c r="A469" t="s">
        <v>35</v>
      </c>
      <c r="B469" t="s">
        <v>24</v>
      </c>
      <c r="C469" s="2">
        <v>46314</v>
      </c>
      <c r="D469" t="s">
        <v>47</v>
      </c>
      <c r="E469">
        <v>65156.47</v>
      </c>
      <c r="F469" s="3">
        <f t="shared" si="7"/>
        <v>65.156469999999999</v>
      </c>
    </row>
    <row r="470" spans="1:6">
      <c r="A470" t="s">
        <v>35</v>
      </c>
      <c r="B470" t="s">
        <v>24</v>
      </c>
      <c r="C470" s="2">
        <v>46314</v>
      </c>
      <c r="D470" t="s">
        <v>46</v>
      </c>
      <c r="E470">
        <v>56326.68</v>
      </c>
      <c r="F470" s="3">
        <f t="shared" si="7"/>
        <v>56.326680000000003</v>
      </c>
    </row>
    <row r="471" spans="1:6">
      <c r="A471" t="s">
        <v>35</v>
      </c>
      <c r="B471" t="s">
        <v>24</v>
      </c>
      <c r="C471" s="2">
        <v>46325</v>
      </c>
      <c r="D471" t="s">
        <v>49</v>
      </c>
      <c r="E471">
        <v>47060.43</v>
      </c>
      <c r="F471" s="3">
        <f t="shared" si="7"/>
        <v>47.060430000000004</v>
      </c>
    </row>
    <row r="472" spans="1:6">
      <c r="A472" t="s">
        <v>35</v>
      </c>
      <c r="B472" t="s">
        <v>24</v>
      </c>
      <c r="C472" s="2">
        <v>46302</v>
      </c>
      <c r="D472" t="s">
        <v>50</v>
      </c>
      <c r="E472">
        <v>14241.62</v>
      </c>
      <c r="F472" s="3">
        <f t="shared" si="7"/>
        <v>14.241620000000001</v>
      </c>
    </row>
    <row r="473" spans="1:6">
      <c r="A473" t="s">
        <v>35</v>
      </c>
      <c r="B473" t="s">
        <v>24</v>
      </c>
      <c r="C473" s="2">
        <v>46296</v>
      </c>
      <c r="D473" t="s">
        <v>51</v>
      </c>
      <c r="E473">
        <v>0</v>
      </c>
      <c r="F473" s="3">
        <f t="shared" si="7"/>
        <v>0</v>
      </c>
    </row>
    <row r="474" spans="1:6">
      <c r="A474" t="s">
        <v>35</v>
      </c>
      <c r="B474" t="s">
        <v>25</v>
      </c>
      <c r="C474" s="2">
        <v>46318</v>
      </c>
      <c r="D474" t="s">
        <v>44</v>
      </c>
      <c r="E474">
        <v>89827.64</v>
      </c>
      <c r="F474" s="3">
        <f t="shared" si="7"/>
        <v>89.827640000000002</v>
      </c>
    </row>
    <row r="475" spans="1:6">
      <c r="A475" t="s">
        <v>35</v>
      </c>
      <c r="B475" t="s">
        <v>25</v>
      </c>
      <c r="C475" s="2">
        <v>46317</v>
      </c>
      <c r="D475" t="s">
        <v>46</v>
      </c>
      <c r="E475">
        <v>70511.77</v>
      </c>
      <c r="F475" s="3">
        <f t="shared" si="7"/>
        <v>70.511769999999999</v>
      </c>
    </row>
    <row r="476" spans="1:6">
      <c r="A476" t="s">
        <v>35</v>
      </c>
      <c r="B476" t="s">
        <v>25</v>
      </c>
      <c r="C476" s="2">
        <v>46320</v>
      </c>
      <c r="D476" t="s">
        <v>45</v>
      </c>
      <c r="E476">
        <v>48881.48</v>
      </c>
      <c r="F476" s="3">
        <f t="shared" si="7"/>
        <v>48.881480000000003</v>
      </c>
    </row>
    <row r="477" spans="1:6">
      <c r="A477" t="s">
        <v>35</v>
      </c>
      <c r="B477" t="s">
        <v>25</v>
      </c>
      <c r="C477" s="2">
        <v>46316</v>
      </c>
      <c r="D477" t="s">
        <v>43</v>
      </c>
      <c r="E477">
        <v>44186.23</v>
      </c>
      <c r="F477" s="3">
        <f t="shared" si="7"/>
        <v>44.186230000000002</v>
      </c>
    </row>
    <row r="478" spans="1:6">
      <c r="A478" t="s">
        <v>35</v>
      </c>
      <c r="B478" t="s">
        <v>25</v>
      </c>
      <c r="C478" s="2">
        <v>46300</v>
      </c>
      <c r="D478" t="s">
        <v>48</v>
      </c>
      <c r="E478">
        <v>40806.949999999997</v>
      </c>
      <c r="F478" s="3">
        <f t="shared" si="7"/>
        <v>40.806950000000001</v>
      </c>
    </row>
    <row r="479" spans="1:6">
      <c r="A479" t="s">
        <v>35</v>
      </c>
      <c r="B479" t="s">
        <v>25</v>
      </c>
      <c r="C479" s="2">
        <v>46318</v>
      </c>
      <c r="D479" t="s">
        <v>47</v>
      </c>
      <c r="E479">
        <v>31179.74</v>
      </c>
      <c r="F479" s="3">
        <f t="shared" si="7"/>
        <v>31.179740000000002</v>
      </c>
    </row>
    <row r="480" spans="1:6">
      <c r="A480" t="s">
        <v>35</v>
      </c>
      <c r="B480" t="s">
        <v>25</v>
      </c>
      <c r="C480" s="2">
        <v>46320</v>
      </c>
      <c r="D480" t="s">
        <v>49</v>
      </c>
      <c r="E480">
        <v>8592.89</v>
      </c>
      <c r="F480" s="3">
        <f t="shared" si="7"/>
        <v>8.5928899999999988</v>
      </c>
    </row>
    <row r="481" spans="1:6">
      <c r="A481" t="s">
        <v>35</v>
      </c>
      <c r="B481" t="s">
        <v>25</v>
      </c>
      <c r="C481" s="2">
        <v>46296</v>
      </c>
      <c r="D481" t="s">
        <v>51</v>
      </c>
      <c r="E481">
        <v>0</v>
      </c>
      <c r="F481" s="3">
        <f t="shared" si="7"/>
        <v>0</v>
      </c>
    </row>
    <row r="482" spans="1:6">
      <c r="A482" t="s">
        <v>35</v>
      </c>
      <c r="B482" t="s">
        <v>25</v>
      </c>
      <c r="C482" s="2">
        <v>46296</v>
      </c>
      <c r="D482" t="s">
        <v>50</v>
      </c>
      <c r="E482">
        <v>0</v>
      </c>
      <c r="F482" s="3">
        <f t="shared" si="7"/>
        <v>0</v>
      </c>
    </row>
    <row r="483" spans="1:6">
      <c r="A483" t="s">
        <v>35</v>
      </c>
      <c r="B483" t="s">
        <v>26</v>
      </c>
      <c r="C483" s="2">
        <v>46322</v>
      </c>
      <c r="D483" t="s">
        <v>45</v>
      </c>
      <c r="E483">
        <v>331924.92</v>
      </c>
      <c r="F483" s="3">
        <f t="shared" si="7"/>
        <v>331.92491999999999</v>
      </c>
    </row>
    <row r="484" spans="1:6">
      <c r="A484" t="s">
        <v>35</v>
      </c>
      <c r="B484" t="s">
        <v>26</v>
      </c>
      <c r="C484" s="2">
        <v>46322</v>
      </c>
      <c r="D484" t="s">
        <v>46</v>
      </c>
      <c r="E484">
        <v>152469.56</v>
      </c>
      <c r="F484" s="3">
        <f t="shared" si="7"/>
        <v>152.46956</v>
      </c>
    </row>
    <row r="485" spans="1:6">
      <c r="A485" t="s">
        <v>35</v>
      </c>
      <c r="B485" t="s">
        <v>26</v>
      </c>
      <c r="C485" s="2">
        <v>46317</v>
      </c>
      <c r="D485" t="s">
        <v>43</v>
      </c>
      <c r="E485">
        <v>142394.91</v>
      </c>
      <c r="F485" s="3">
        <f t="shared" si="7"/>
        <v>142.39491000000001</v>
      </c>
    </row>
    <row r="486" spans="1:6">
      <c r="A486" t="s">
        <v>35</v>
      </c>
      <c r="B486" t="s">
        <v>26</v>
      </c>
      <c r="C486" s="2">
        <v>46324</v>
      </c>
      <c r="D486" t="s">
        <v>44</v>
      </c>
      <c r="E486">
        <v>103566.63</v>
      </c>
      <c r="F486" s="3">
        <f t="shared" si="7"/>
        <v>103.56663</v>
      </c>
    </row>
    <row r="487" spans="1:6">
      <c r="A487" t="s">
        <v>35</v>
      </c>
      <c r="B487" t="s">
        <v>26</v>
      </c>
      <c r="C487" s="2">
        <v>46317</v>
      </c>
      <c r="D487" t="s">
        <v>47</v>
      </c>
      <c r="E487">
        <v>73475.100000000006</v>
      </c>
      <c r="F487" s="3">
        <f t="shared" si="7"/>
        <v>73.475100000000012</v>
      </c>
    </row>
    <row r="488" spans="1:6">
      <c r="A488" t="s">
        <v>35</v>
      </c>
      <c r="B488" t="s">
        <v>26</v>
      </c>
      <c r="C488" s="2">
        <v>46296</v>
      </c>
      <c r="D488" t="s">
        <v>48</v>
      </c>
      <c r="E488">
        <v>66242.64</v>
      </c>
      <c r="F488" s="3">
        <f t="shared" si="7"/>
        <v>66.242639999999994</v>
      </c>
    </row>
    <row r="489" spans="1:6">
      <c r="A489" t="s">
        <v>35</v>
      </c>
      <c r="B489" t="s">
        <v>26</v>
      </c>
      <c r="C489" s="2">
        <v>46322</v>
      </c>
      <c r="D489" t="s">
        <v>49</v>
      </c>
      <c r="E489">
        <v>53814.8</v>
      </c>
      <c r="F489" s="3">
        <f t="shared" si="7"/>
        <v>53.814800000000005</v>
      </c>
    </row>
    <row r="490" spans="1:6">
      <c r="A490" t="s">
        <v>35</v>
      </c>
      <c r="B490" t="s">
        <v>26</v>
      </c>
      <c r="C490" s="2">
        <v>46315</v>
      </c>
      <c r="D490" t="s">
        <v>50</v>
      </c>
      <c r="E490">
        <v>3739.64</v>
      </c>
      <c r="F490" s="3">
        <f t="shared" si="7"/>
        <v>3.7396400000000001</v>
      </c>
    </row>
    <row r="491" spans="1:6">
      <c r="A491" t="s">
        <v>35</v>
      </c>
      <c r="B491" t="s">
        <v>26</v>
      </c>
      <c r="C491" s="2">
        <v>46296</v>
      </c>
      <c r="D491" t="s">
        <v>51</v>
      </c>
      <c r="E491">
        <v>0</v>
      </c>
      <c r="F491" s="3">
        <f t="shared" si="7"/>
        <v>0</v>
      </c>
    </row>
    <row r="492" spans="1:6">
      <c r="A492" t="s">
        <v>35</v>
      </c>
      <c r="B492" t="s">
        <v>27</v>
      </c>
      <c r="C492" s="2">
        <v>46315</v>
      </c>
      <c r="D492" t="s">
        <v>45</v>
      </c>
      <c r="E492">
        <v>218876.79999999999</v>
      </c>
      <c r="F492" s="3">
        <f t="shared" si="7"/>
        <v>218.87679999999997</v>
      </c>
    </row>
    <row r="493" spans="1:6">
      <c r="A493" t="s">
        <v>35</v>
      </c>
      <c r="B493" t="s">
        <v>27</v>
      </c>
      <c r="C493" s="2">
        <v>46316</v>
      </c>
      <c r="D493" t="s">
        <v>46</v>
      </c>
      <c r="E493">
        <v>111142.06</v>
      </c>
      <c r="F493" s="3">
        <f t="shared" si="7"/>
        <v>111.14206</v>
      </c>
    </row>
    <row r="494" spans="1:6">
      <c r="A494" t="s">
        <v>35</v>
      </c>
      <c r="B494" t="s">
        <v>27</v>
      </c>
      <c r="C494" s="2">
        <v>46296</v>
      </c>
      <c r="D494" t="s">
        <v>43</v>
      </c>
      <c r="E494">
        <v>85979.06</v>
      </c>
      <c r="F494" s="3">
        <f t="shared" si="7"/>
        <v>85.979060000000004</v>
      </c>
    </row>
    <row r="495" spans="1:6">
      <c r="A495" t="s">
        <v>35</v>
      </c>
      <c r="B495" t="s">
        <v>27</v>
      </c>
      <c r="C495" s="2">
        <v>46321</v>
      </c>
      <c r="D495" t="s">
        <v>44</v>
      </c>
      <c r="E495">
        <v>65299.79</v>
      </c>
      <c r="F495" s="3">
        <f t="shared" si="7"/>
        <v>65.299790000000002</v>
      </c>
    </row>
    <row r="496" spans="1:6">
      <c r="A496" t="s">
        <v>35</v>
      </c>
      <c r="B496" t="s">
        <v>27</v>
      </c>
      <c r="C496" s="2">
        <v>46316</v>
      </c>
      <c r="D496" t="s">
        <v>47</v>
      </c>
      <c r="E496">
        <v>47484.91</v>
      </c>
      <c r="F496" s="3">
        <f t="shared" si="7"/>
        <v>47.484910000000006</v>
      </c>
    </row>
    <row r="497" spans="1:6">
      <c r="A497" t="s">
        <v>35</v>
      </c>
      <c r="B497" t="s">
        <v>27</v>
      </c>
      <c r="C497" s="2">
        <v>46296</v>
      </c>
      <c r="D497" t="s">
        <v>48</v>
      </c>
      <c r="E497">
        <v>44934.1</v>
      </c>
      <c r="F497" s="3">
        <f t="shared" si="7"/>
        <v>44.934100000000001</v>
      </c>
    </row>
    <row r="498" spans="1:6">
      <c r="A498" t="s">
        <v>35</v>
      </c>
      <c r="B498" t="s">
        <v>27</v>
      </c>
      <c r="C498" s="2">
        <v>46323</v>
      </c>
      <c r="D498" t="s">
        <v>49</v>
      </c>
      <c r="E498">
        <v>38450.370000000003</v>
      </c>
      <c r="F498" s="3">
        <f t="shared" si="7"/>
        <v>38.450369999999999</v>
      </c>
    </row>
    <row r="499" spans="1:6">
      <c r="A499" t="s">
        <v>35</v>
      </c>
      <c r="B499" t="s">
        <v>27</v>
      </c>
      <c r="C499" s="2">
        <v>46316</v>
      </c>
      <c r="D499" t="s">
        <v>50</v>
      </c>
      <c r="E499">
        <v>2508.33</v>
      </c>
      <c r="F499" s="3">
        <f t="shared" si="7"/>
        <v>2.5083299999999999</v>
      </c>
    </row>
    <row r="500" spans="1:6">
      <c r="A500" t="s">
        <v>35</v>
      </c>
      <c r="B500" t="s">
        <v>27</v>
      </c>
      <c r="C500" s="2">
        <v>46296</v>
      </c>
      <c r="D500" t="s">
        <v>51</v>
      </c>
      <c r="E500">
        <v>0</v>
      </c>
      <c r="F500" s="3">
        <f t="shared" si="7"/>
        <v>0</v>
      </c>
    </row>
    <row r="501" spans="1:6">
      <c r="A501" t="s">
        <v>35</v>
      </c>
      <c r="B501" t="s">
        <v>28</v>
      </c>
      <c r="C501" s="2">
        <v>46319</v>
      </c>
      <c r="D501" t="s">
        <v>44</v>
      </c>
      <c r="E501">
        <v>259644.95</v>
      </c>
      <c r="F501" s="3">
        <f t="shared" si="7"/>
        <v>259.64494999999999</v>
      </c>
    </row>
    <row r="502" spans="1:6">
      <c r="A502" t="s">
        <v>35</v>
      </c>
      <c r="B502" t="s">
        <v>28</v>
      </c>
      <c r="C502" s="2">
        <v>46319</v>
      </c>
      <c r="D502" t="s">
        <v>46</v>
      </c>
      <c r="E502">
        <v>199153.35</v>
      </c>
      <c r="F502" s="3">
        <f t="shared" si="7"/>
        <v>199.15335000000002</v>
      </c>
    </row>
    <row r="503" spans="1:6">
      <c r="A503" t="s">
        <v>35</v>
      </c>
      <c r="B503" t="s">
        <v>28</v>
      </c>
      <c r="C503" s="2">
        <v>46319</v>
      </c>
      <c r="D503" t="s">
        <v>45</v>
      </c>
      <c r="E503">
        <v>90841.1</v>
      </c>
      <c r="F503" s="3">
        <f t="shared" si="7"/>
        <v>90.841100000000012</v>
      </c>
    </row>
    <row r="504" spans="1:6">
      <c r="A504" t="s">
        <v>35</v>
      </c>
      <c r="B504" t="s">
        <v>28</v>
      </c>
      <c r="C504" s="2">
        <v>46319</v>
      </c>
      <c r="D504" t="s">
        <v>43</v>
      </c>
      <c r="E504">
        <v>90168.45</v>
      </c>
      <c r="F504" s="3">
        <f t="shared" si="7"/>
        <v>90.168449999999993</v>
      </c>
    </row>
    <row r="505" spans="1:6">
      <c r="A505" t="s">
        <v>35</v>
      </c>
      <c r="B505" t="s">
        <v>28</v>
      </c>
      <c r="C505" s="2">
        <v>46296</v>
      </c>
      <c r="D505" t="s">
        <v>48</v>
      </c>
      <c r="E505">
        <v>70576.259999999995</v>
      </c>
      <c r="F505" s="3">
        <f t="shared" si="7"/>
        <v>70.576259999999991</v>
      </c>
    </row>
    <row r="506" spans="1:6">
      <c r="A506" t="s">
        <v>35</v>
      </c>
      <c r="B506" t="s">
        <v>28</v>
      </c>
      <c r="C506" s="2">
        <v>46319</v>
      </c>
      <c r="D506" t="s">
        <v>47</v>
      </c>
      <c r="E506">
        <v>41588.89</v>
      </c>
      <c r="F506" s="3">
        <f t="shared" si="7"/>
        <v>41.588889999999999</v>
      </c>
    </row>
    <row r="507" spans="1:6">
      <c r="A507" t="s">
        <v>35</v>
      </c>
      <c r="B507" t="s">
        <v>28</v>
      </c>
      <c r="C507" s="2">
        <v>46324</v>
      </c>
      <c r="D507" t="s">
        <v>49</v>
      </c>
      <c r="E507">
        <v>19507.169999999998</v>
      </c>
      <c r="F507" s="3">
        <f t="shared" si="7"/>
        <v>19.507169999999999</v>
      </c>
    </row>
    <row r="508" spans="1:6">
      <c r="A508" t="s">
        <v>35</v>
      </c>
      <c r="B508" t="s">
        <v>28</v>
      </c>
      <c r="C508" s="2">
        <v>46324</v>
      </c>
      <c r="D508" t="s">
        <v>50</v>
      </c>
      <c r="E508">
        <v>2997.88</v>
      </c>
      <c r="F508" s="3">
        <f t="shared" si="7"/>
        <v>2.9978800000000003</v>
      </c>
    </row>
    <row r="509" spans="1:6">
      <c r="A509" t="s">
        <v>35</v>
      </c>
      <c r="B509" t="s">
        <v>28</v>
      </c>
      <c r="C509" s="2">
        <v>46296</v>
      </c>
      <c r="D509" t="s">
        <v>51</v>
      </c>
      <c r="E509">
        <v>0</v>
      </c>
      <c r="F509" s="3">
        <f t="shared" si="7"/>
        <v>0</v>
      </c>
    </row>
    <row r="510" spans="1:6">
      <c r="A510" t="s">
        <v>35</v>
      </c>
      <c r="B510" t="s">
        <v>29</v>
      </c>
      <c r="C510" s="2">
        <v>46321</v>
      </c>
      <c r="D510" t="s">
        <v>45</v>
      </c>
      <c r="E510">
        <v>415556.76</v>
      </c>
      <c r="F510" s="3">
        <f t="shared" si="7"/>
        <v>415.55676</v>
      </c>
    </row>
    <row r="511" spans="1:6">
      <c r="A511" t="s">
        <v>35</v>
      </c>
      <c r="B511" t="s">
        <v>29</v>
      </c>
      <c r="C511" s="2">
        <v>46320</v>
      </c>
      <c r="D511" t="s">
        <v>44</v>
      </c>
      <c r="E511">
        <v>317282.11</v>
      </c>
      <c r="F511" s="3">
        <f t="shared" si="7"/>
        <v>317.28210999999999</v>
      </c>
    </row>
    <row r="512" spans="1:6">
      <c r="A512" t="s">
        <v>35</v>
      </c>
      <c r="B512" t="s">
        <v>29</v>
      </c>
      <c r="C512" s="2">
        <v>46317</v>
      </c>
      <c r="D512" t="s">
        <v>46</v>
      </c>
      <c r="E512">
        <v>303332.87</v>
      </c>
      <c r="F512" s="3">
        <f t="shared" si="7"/>
        <v>303.33287000000001</v>
      </c>
    </row>
    <row r="513" spans="1:6">
      <c r="A513" t="s">
        <v>35</v>
      </c>
      <c r="B513" t="s">
        <v>29</v>
      </c>
      <c r="C513" s="2">
        <v>46317</v>
      </c>
      <c r="D513" t="s">
        <v>43</v>
      </c>
      <c r="E513">
        <v>253221.74</v>
      </c>
      <c r="F513" s="3">
        <f t="shared" si="7"/>
        <v>253.22173999999998</v>
      </c>
    </row>
    <row r="514" spans="1:6">
      <c r="A514" t="s">
        <v>35</v>
      </c>
      <c r="B514" t="s">
        <v>29</v>
      </c>
      <c r="C514" s="2">
        <v>46298</v>
      </c>
      <c r="D514" t="s">
        <v>48</v>
      </c>
      <c r="E514">
        <v>118791.59</v>
      </c>
      <c r="F514" s="3">
        <f t="shared" si="7"/>
        <v>118.79159</v>
      </c>
    </row>
    <row r="515" spans="1:6">
      <c r="A515" t="s">
        <v>35</v>
      </c>
      <c r="B515" t="s">
        <v>29</v>
      </c>
      <c r="C515" s="2">
        <v>46317</v>
      </c>
      <c r="D515" t="s">
        <v>47</v>
      </c>
      <c r="E515">
        <v>91183.52</v>
      </c>
      <c r="F515" s="3">
        <f t="shared" ref="F515:F578" si="8">E515/1000</f>
        <v>91.183520000000001</v>
      </c>
    </row>
    <row r="516" spans="1:6">
      <c r="A516" t="s">
        <v>35</v>
      </c>
      <c r="B516" t="s">
        <v>29</v>
      </c>
      <c r="C516" s="2">
        <v>46324</v>
      </c>
      <c r="D516" t="s">
        <v>49</v>
      </c>
      <c r="E516">
        <v>43344.13</v>
      </c>
      <c r="F516" s="3">
        <f t="shared" si="8"/>
        <v>43.34413</v>
      </c>
    </row>
    <row r="517" spans="1:6">
      <c r="A517" t="s">
        <v>35</v>
      </c>
      <c r="B517" t="s">
        <v>29</v>
      </c>
      <c r="C517" s="2">
        <v>46298</v>
      </c>
      <c r="D517" t="s">
        <v>50</v>
      </c>
      <c r="E517">
        <v>8669.91</v>
      </c>
      <c r="F517" s="3">
        <f t="shared" si="8"/>
        <v>8.6699099999999998</v>
      </c>
    </row>
    <row r="518" spans="1:6">
      <c r="A518" t="s">
        <v>35</v>
      </c>
      <c r="B518" t="s">
        <v>29</v>
      </c>
      <c r="C518" s="2">
        <v>46296</v>
      </c>
      <c r="D518" t="s">
        <v>51</v>
      </c>
      <c r="E518">
        <v>0</v>
      </c>
      <c r="F518" s="3">
        <f t="shared" si="8"/>
        <v>0</v>
      </c>
    </row>
    <row r="519" spans="1:6">
      <c r="A519" t="s">
        <v>35</v>
      </c>
      <c r="B519" t="s">
        <v>30</v>
      </c>
      <c r="C519" s="2">
        <v>46322</v>
      </c>
      <c r="D519" t="s">
        <v>45</v>
      </c>
      <c r="E519">
        <v>283401.42</v>
      </c>
      <c r="F519" s="3">
        <f t="shared" si="8"/>
        <v>283.40141999999997</v>
      </c>
    </row>
    <row r="520" spans="1:6">
      <c r="A520" t="s">
        <v>35</v>
      </c>
      <c r="B520" t="s">
        <v>30</v>
      </c>
      <c r="C520" s="2">
        <v>46317</v>
      </c>
      <c r="D520" t="s">
        <v>46</v>
      </c>
      <c r="E520">
        <v>200807.54</v>
      </c>
      <c r="F520" s="3">
        <f t="shared" si="8"/>
        <v>200.80754000000002</v>
      </c>
    </row>
    <row r="521" spans="1:6">
      <c r="A521" t="s">
        <v>35</v>
      </c>
      <c r="B521" t="s">
        <v>30</v>
      </c>
      <c r="C521" s="2">
        <v>46322</v>
      </c>
      <c r="D521" t="s">
        <v>44</v>
      </c>
      <c r="E521">
        <v>195615.3</v>
      </c>
      <c r="F521" s="3">
        <f t="shared" si="8"/>
        <v>195.61529999999999</v>
      </c>
    </row>
    <row r="522" spans="1:6">
      <c r="A522" t="s">
        <v>35</v>
      </c>
      <c r="B522" t="s">
        <v>30</v>
      </c>
      <c r="C522" s="2">
        <v>46317</v>
      </c>
      <c r="D522" t="s">
        <v>43</v>
      </c>
      <c r="E522">
        <v>162588.69</v>
      </c>
      <c r="F522" s="3">
        <f t="shared" si="8"/>
        <v>162.58869000000001</v>
      </c>
    </row>
    <row r="523" spans="1:6">
      <c r="A523" t="s">
        <v>35</v>
      </c>
      <c r="B523" t="s">
        <v>30</v>
      </c>
      <c r="C523" s="2">
        <v>46297</v>
      </c>
      <c r="D523" t="s">
        <v>48</v>
      </c>
      <c r="E523">
        <v>82754.38</v>
      </c>
      <c r="F523" s="3">
        <f t="shared" si="8"/>
        <v>82.754379999999998</v>
      </c>
    </row>
    <row r="524" spans="1:6">
      <c r="A524" t="s">
        <v>35</v>
      </c>
      <c r="B524" t="s">
        <v>30</v>
      </c>
      <c r="C524" s="2">
        <v>46317</v>
      </c>
      <c r="D524" t="s">
        <v>47</v>
      </c>
      <c r="E524">
        <v>55165.52</v>
      </c>
      <c r="F524" s="3">
        <f t="shared" si="8"/>
        <v>55.165519999999994</v>
      </c>
    </row>
    <row r="525" spans="1:6">
      <c r="A525" t="s">
        <v>35</v>
      </c>
      <c r="B525" t="s">
        <v>30</v>
      </c>
      <c r="C525" s="2">
        <v>46322</v>
      </c>
      <c r="D525" t="s">
        <v>49</v>
      </c>
      <c r="E525">
        <v>31469.57</v>
      </c>
      <c r="F525" s="3">
        <f t="shared" si="8"/>
        <v>31.469570000000001</v>
      </c>
    </row>
    <row r="526" spans="1:6">
      <c r="A526" t="s">
        <v>35</v>
      </c>
      <c r="B526" t="s">
        <v>30</v>
      </c>
      <c r="C526" s="2">
        <v>46298</v>
      </c>
      <c r="D526" t="s">
        <v>50</v>
      </c>
      <c r="E526">
        <v>5921.03</v>
      </c>
      <c r="F526" s="3">
        <f t="shared" si="8"/>
        <v>5.92103</v>
      </c>
    </row>
    <row r="527" spans="1:6">
      <c r="A527" t="s">
        <v>35</v>
      </c>
      <c r="B527" t="s">
        <v>30</v>
      </c>
      <c r="C527" s="2">
        <v>46296</v>
      </c>
      <c r="D527" t="s">
        <v>51</v>
      </c>
      <c r="E527">
        <v>0</v>
      </c>
      <c r="F527" s="3">
        <f t="shared" si="8"/>
        <v>0</v>
      </c>
    </row>
    <row r="528" spans="1:6">
      <c r="A528" t="s">
        <v>35</v>
      </c>
      <c r="B528" t="s">
        <v>31</v>
      </c>
      <c r="C528" s="2">
        <v>46321</v>
      </c>
      <c r="D528" t="s">
        <v>45</v>
      </c>
      <c r="E528">
        <v>352327.86</v>
      </c>
      <c r="F528" s="3">
        <f t="shared" si="8"/>
        <v>352.32785999999999</v>
      </c>
    </row>
    <row r="529" spans="1:6">
      <c r="A529" t="s">
        <v>35</v>
      </c>
      <c r="B529" t="s">
        <v>31</v>
      </c>
      <c r="C529" s="2">
        <v>46315</v>
      </c>
      <c r="D529" t="s">
        <v>46</v>
      </c>
      <c r="E529">
        <v>249480.95999999999</v>
      </c>
      <c r="F529" s="3">
        <f t="shared" si="8"/>
        <v>249.48095999999998</v>
      </c>
    </row>
    <row r="530" spans="1:6">
      <c r="A530" t="s">
        <v>35</v>
      </c>
      <c r="B530" t="s">
        <v>31</v>
      </c>
      <c r="C530" s="2">
        <v>46318</v>
      </c>
      <c r="D530" t="s">
        <v>44</v>
      </c>
      <c r="E530">
        <v>235322.1</v>
      </c>
      <c r="F530" s="3">
        <f t="shared" si="8"/>
        <v>235.32210000000001</v>
      </c>
    </row>
    <row r="531" spans="1:6">
      <c r="A531" t="s">
        <v>35</v>
      </c>
      <c r="B531" t="s">
        <v>31</v>
      </c>
      <c r="C531" s="2">
        <v>46318</v>
      </c>
      <c r="D531" t="s">
        <v>43</v>
      </c>
      <c r="E531">
        <v>199834.32</v>
      </c>
      <c r="F531" s="3">
        <f t="shared" si="8"/>
        <v>199.83432000000002</v>
      </c>
    </row>
    <row r="532" spans="1:6">
      <c r="A532" t="s">
        <v>35</v>
      </c>
      <c r="B532" t="s">
        <v>31</v>
      </c>
      <c r="C532" s="2">
        <v>46298</v>
      </c>
      <c r="D532" t="s">
        <v>48</v>
      </c>
      <c r="E532">
        <v>99538.59</v>
      </c>
      <c r="F532" s="3">
        <f t="shared" si="8"/>
        <v>99.538589999999999</v>
      </c>
    </row>
    <row r="533" spans="1:6">
      <c r="A533" t="s">
        <v>35</v>
      </c>
      <c r="B533" t="s">
        <v>31</v>
      </c>
      <c r="C533" s="2">
        <v>46316</v>
      </c>
      <c r="D533" t="s">
        <v>47</v>
      </c>
      <c r="E533">
        <v>71279.25</v>
      </c>
      <c r="F533" s="3">
        <f t="shared" si="8"/>
        <v>71.279250000000005</v>
      </c>
    </row>
    <row r="534" spans="1:6">
      <c r="A534" t="s">
        <v>35</v>
      </c>
      <c r="B534" t="s">
        <v>31</v>
      </c>
      <c r="C534" s="2">
        <v>46321</v>
      </c>
      <c r="D534" t="s">
        <v>49</v>
      </c>
      <c r="E534">
        <v>37603.97</v>
      </c>
      <c r="F534" s="3">
        <f t="shared" si="8"/>
        <v>37.603970000000004</v>
      </c>
    </row>
    <row r="535" spans="1:6">
      <c r="A535" t="s">
        <v>35</v>
      </c>
      <c r="B535" t="s">
        <v>31</v>
      </c>
      <c r="C535" s="2">
        <v>46298</v>
      </c>
      <c r="D535" t="s">
        <v>50</v>
      </c>
      <c r="E535">
        <v>7470.81</v>
      </c>
      <c r="F535" s="3">
        <f t="shared" si="8"/>
        <v>7.4708100000000002</v>
      </c>
    </row>
    <row r="536" spans="1:6">
      <c r="A536" t="s">
        <v>35</v>
      </c>
      <c r="B536" t="s">
        <v>31</v>
      </c>
      <c r="C536" s="2">
        <v>46296</v>
      </c>
      <c r="D536" t="s">
        <v>51</v>
      </c>
      <c r="E536">
        <v>0</v>
      </c>
      <c r="F536" s="3">
        <f t="shared" si="8"/>
        <v>0</v>
      </c>
    </row>
    <row r="537" spans="1:6" hidden="1">
      <c r="A537" t="s">
        <v>36</v>
      </c>
      <c r="B537" t="s">
        <v>20</v>
      </c>
      <c r="C537" s="2">
        <v>46334</v>
      </c>
      <c r="D537" t="s">
        <v>44</v>
      </c>
      <c r="E537">
        <v>297944.53999999998</v>
      </c>
      <c r="F537" s="3">
        <f t="shared" si="8"/>
        <v>297.94453999999996</v>
      </c>
    </row>
    <row r="538" spans="1:6" hidden="1">
      <c r="A538" t="s">
        <v>36</v>
      </c>
      <c r="B538" t="s">
        <v>20</v>
      </c>
      <c r="C538" s="2">
        <v>46345</v>
      </c>
      <c r="D538" t="s">
        <v>46</v>
      </c>
      <c r="E538">
        <v>190853.74</v>
      </c>
      <c r="F538" s="3">
        <f t="shared" si="8"/>
        <v>190.85373999999999</v>
      </c>
    </row>
    <row r="539" spans="1:6" hidden="1">
      <c r="A539" t="s">
        <v>36</v>
      </c>
      <c r="B539" t="s">
        <v>20</v>
      </c>
      <c r="C539" s="2">
        <v>46335</v>
      </c>
      <c r="D539" t="s">
        <v>43</v>
      </c>
      <c r="E539">
        <v>186808.43</v>
      </c>
      <c r="F539" s="3">
        <f t="shared" si="8"/>
        <v>186.80842999999999</v>
      </c>
    </row>
    <row r="540" spans="1:6" hidden="1">
      <c r="A540" t="s">
        <v>36</v>
      </c>
      <c r="B540" t="s">
        <v>20</v>
      </c>
      <c r="C540" s="2">
        <v>46328</v>
      </c>
      <c r="D540" t="s">
        <v>45</v>
      </c>
      <c r="E540">
        <v>183789.19</v>
      </c>
      <c r="F540" s="3">
        <f t="shared" si="8"/>
        <v>183.78918999999999</v>
      </c>
    </row>
    <row r="541" spans="1:6" hidden="1">
      <c r="A541" t="s">
        <v>36</v>
      </c>
      <c r="B541" t="s">
        <v>20</v>
      </c>
      <c r="C541" s="2">
        <v>46327</v>
      </c>
      <c r="D541" t="s">
        <v>48</v>
      </c>
      <c r="E541">
        <v>96683.43</v>
      </c>
      <c r="F541" s="3">
        <f t="shared" si="8"/>
        <v>96.683429999999987</v>
      </c>
    </row>
    <row r="542" spans="1:6" hidden="1">
      <c r="A542" t="s">
        <v>36</v>
      </c>
      <c r="B542" t="s">
        <v>20</v>
      </c>
      <c r="C542" s="2">
        <v>46333</v>
      </c>
      <c r="D542" t="s">
        <v>47</v>
      </c>
      <c r="E542">
        <v>62629.88</v>
      </c>
      <c r="F542" s="3">
        <f t="shared" si="8"/>
        <v>62.62988</v>
      </c>
    </row>
    <row r="543" spans="1:6" hidden="1">
      <c r="A543" t="s">
        <v>36</v>
      </c>
      <c r="B543" t="s">
        <v>20</v>
      </c>
      <c r="C543" s="2">
        <v>46346</v>
      </c>
      <c r="D543" t="s">
        <v>49</v>
      </c>
      <c r="E543">
        <v>52422.29</v>
      </c>
      <c r="F543" s="3">
        <f t="shared" si="8"/>
        <v>52.422290000000004</v>
      </c>
    </row>
    <row r="544" spans="1:6" hidden="1">
      <c r="A544" t="s">
        <v>36</v>
      </c>
      <c r="B544" t="s">
        <v>20</v>
      </c>
      <c r="C544" s="2">
        <v>46353</v>
      </c>
      <c r="D544" t="s">
        <v>50</v>
      </c>
      <c r="E544">
        <v>13142.21</v>
      </c>
      <c r="F544" s="3">
        <f t="shared" si="8"/>
        <v>13.142209999999999</v>
      </c>
    </row>
    <row r="545" spans="1:6" hidden="1">
      <c r="A545" t="s">
        <v>36</v>
      </c>
      <c r="B545" t="s">
        <v>21</v>
      </c>
      <c r="C545" s="2">
        <v>46328</v>
      </c>
      <c r="D545" t="s">
        <v>43</v>
      </c>
      <c r="E545">
        <v>234200.97</v>
      </c>
      <c r="F545" s="3">
        <f t="shared" si="8"/>
        <v>234.20097000000001</v>
      </c>
    </row>
    <row r="546" spans="1:6" hidden="1">
      <c r="A546" t="s">
        <v>36</v>
      </c>
      <c r="B546" t="s">
        <v>21</v>
      </c>
      <c r="C546" s="2">
        <v>46328</v>
      </c>
      <c r="D546" t="s">
        <v>45</v>
      </c>
      <c r="E546">
        <v>194719.43</v>
      </c>
      <c r="F546" s="3">
        <f t="shared" si="8"/>
        <v>194.71942999999999</v>
      </c>
    </row>
    <row r="547" spans="1:6" hidden="1">
      <c r="A547" t="s">
        <v>36</v>
      </c>
      <c r="B547" t="s">
        <v>21</v>
      </c>
      <c r="C547" s="2">
        <v>46327</v>
      </c>
      <c r="D547" t="s">
        <v>46</v>
      </c>
      <c r="E547">
        <v>177810.96</v>
      </c>
      <c r="F547" s="3">
        <f t="shared" si="8"/>
        <v>177.81095999999999</v>
      </c>
    </row>
    <row r="548" spans="1:6" hidden="1">
      <c r="A548" t="s">
        <v>36</v>
      </c>
      <c r="B548" t="s">
        <v>21</v>
      </c>
      <c r="C548" s="2">
        <v>46327</v>
      </c>
      <c r="D548" t="s">
        <v>50</v>
      </c>
      <c r="E548">
        <v>114751.74</v>
      </c>
      <c r="F548" s="3">
        <f t="shared" si="8"/>
        <v>114.75174000000001</v>
      </c>
    </row>
    <row r="549" spans="1:6" hidden="1">
      <c r="A549" t="s">
        <v>36</v>
      </c>
      <c r="B549" t="s">
        <v>21</v>
      </c>
      <c r="C549" s="2">
        <v>46327</v>
      </c>
      <c r="D549" t="s">
        <v>48</v>
      </c>
      <c r="E549">
        <v>104796.37</v>
      </c>
      <c r="F549" s="3">
        <f t="shared" si="8"/>
        <v>104.79637</v>
      </c>
    </row>
    <row r="550" spans="1:6" hidden="1">
      <c r="A550" t="s">
        <v>36</v>
      </c>
      <c r="B550" t="s">
        <v>21</v>
      </c>
      <c r="C550" s="2">
        <v>46327</v>
      </c>
      <c r="D550" t="s">
        <v>47</v>
      </c>
      <c r="E550">
        <v>57608.5</v>
      </c>
      <c r="F550" s="3">
        <f t="shared" si="8"/>
        <v>57.608499999999999</v>
      </c>
    </row>
    <row r="551" spans="1:6" hidden="1">
      <c r="A551" t="s">
        <v>36</v>
      </c>
      <c r="B551" t="s">
        <v>21</v>
      </c>
      <c r="C551" s="2">
        <v>46349</v>
      </c>
      <c r="D551" t="s">
        <v>49</v>
      </c>
      <c r="E551">
        <v>33808.120000000003</v>
      </c>
      <c r="F551" s="3">
        <f t="shared" si="8"/>
        <v>33.808120000000002</v>
      </c>
    </row>
    <row r="552" spans="1:6" hidden="1">
      <c r="A552" t="s">
        <v>36</v>
      </c>
      <c r="B552" t="s">
        <v>21</v>
      </c>
      <c r="C552" s="2">
        <v>46327</v>
      </c>
      <c r="D552" t="s">
        <v>44</v>
      </c>
      <c r="E552">
        <v>13231.71</v>
      </c>
      <c r="F552" s="3">
        <f t="shared" si="8"/>
        <v>13.23171</v>
      </c>
    </row>
    <row r="553" spans="1:6" hidden="1">
      <c r="A553" t="s">
        <v>36</v>
      </c>
      <c r="B553" t="s">
        <v>21</v>
      </c>
      <c r="C553" s="2">
        <v>46327</v>
      </c>
      <c r="D553" t="s">
        <v>51</v>
      </c>
      <c r="E553">
        <v>0</v>
      </c>
      <c r="F553" s="3">
        <f t="shared" si="8"/>
        <v>0</v>
      </c>
    </row>
    <row r="554" spans="1:6" hidden="1">
      <c r="A554" t="s">
        <v>36</v>
      </c>
      <c r="B554" t="s">
        <v>22</v>
      </c>
      <c r="C554" s="2">
        <v>46347</v>
      </c>
      <c r="D554" t="s">
        <v>46</v>
      </c>
      <c r="E554">
        <v>368908.22</v>
      </c>
      <c r="F554" s="3">
        <f t="shared" si="8"/>
        <v>368.90821999999997</v>
      </c>
    </row>
    <row r="555" spans="1:6" hidden="1">
      <c r="A555" t="s">
        <v>36</v>
      </c>
      <c r="B555" t="s">
        <v>22</v>
      </c>
      <c r="C555" s="2">
        <v>46330</v>
      </c>
      <c r="D555" t="s">
        <v>45</v>
      </c>
      <c r="E555">
        <v>302060.71000000002</v>
      </c>
      <c r="F555" s="3">
        <f t="shared" si="8"/>
        <v>302.06071000000003</v>
      </c>
    </row>
    <row r="556" spans="1:6" hidden="1">
      <c r="A556" t="s">
        <v>36</v>
      </c>
      <c r="B556" t="s">
        <v>22</v>
      </c>
      <c r="C556" s="2">
        <v>46327</v>
      </c>
      <c r="D556" t="s">
        <v>43</v>
      </c>
      <c r="E556">
        <v>260802.73</v>
      </c>
      <c r="F556" s="3">
        <f t="shared" si="8"/>
        <v>260.80273</v>
      </c>
    </row>
    <row r="557" spans="1:6" hidden="1">
      <c r="A557" t="s">
        <v>36</v>
      </c>
      <c r="B557" t="s">
        <v>22</v>
      </c>
      <c r="C557" s="2">
        <v>46337</v>
      </c>
      <c r="D557" t="s">
        <v>44</v>
      </c>
      <c r="E557">
        <v>253948.38</v>
      </c>
      <c r="F557" s="3">
        <f t="shared" si="8"/>
        <v>253.94838000000001</v>
      </c>
    </row>
    <row r="558" spans="1:6" hidden="1">
      <c r="A558" t="s">
        <v>36</v>
      </c>
      <c r="B558" t="s">
        <v>22</v>
      </c>
      <c r="C558" s="2">
        <v>46327</v>
      </c>
      <c r="D558" t="s">
        <v>48</v>
      </c>
      <c r="E558">
        <v>77736.92</v>
      </c>
      <c r="F558" s="3">
        <f t="shared" si="8"/>
        <v>77.736919999999998</v>
      </c>
    </row>
    <row r="559" spans="1:6" hidden="1">
      <c r="A559" t="s">
        <v>36</v>
      </c>
      <c r="B559" t="s">
        <v>22</v>
      </c>
      <c r="C559" s="2">
        <v>46340</v>
      </c>
      <c r="D559" t="s">
        <v>47</v>
      </c>
      <c r="E559">
        <v>64939.59</v>
      </c>
      <c r="F559" s="3">
        <f t="shared" si="8"/>
        <v>64.939589999999995</v>
      </c>
    </row>
    <row r="560" spans="1:6" hidden="1">
      <c r="A560" t="s">
        <v>36</v>
      </c>
      <c r="B560" t="s">
        <v>22</v>
      </c>
      <c r="C560" s="2">
        <v>46351</v>
      </c>
      <c r="D560" t="s">
        <v>49</v>
      </c>
      <c r="E560">
        <v>39235.800000000003</v>
      </c>
      <c r="F560" s="3">
        <f t="shared" si="8"/>
        <v>39.235800000000005</v>
      </c>
    </row>
    <row r="561" spans="1:6" hidden="1">
      <c r="A561" t="s">
        <v>36</v>
      </c>
      <c r="B561" t="s">
        <v>22</v>
      </c>
      <c r="C561" s="2">
        <v>46353</v>
      </c>
      <c r="D561" t="s">
        <v>50</v>
      </c>
      <c r="E561">
        <v>8278.4699999999993</v>
      </c>
      <c r="F561" s="3">
        <f t="shared" si="8"/>
        <v>8.2784699999999987</v>
      </c>
    </row>
    <row r="562" spans="1:6" hidden="1">
      <c r="A562" t="s">
        <v>36</v>
      </c>
      <c r="B562" t="s">
        <v>22</v>
      </c>
      <c r="C562" s="2">
        <v>46327</v>
      </c>
      <c r="D562" t="s">
        <v>51</v>
      </c>
      <c r="E562">
        <v>0</v>
      </c>
      <c r="F562" s="3">
        <f t="shared" si="8"/>
        <v>0</v>
      </c>
    </row>
    <row r="563" spans="1:6" hidden="1">
      <c r="A563" t="s">
        <v>36</v>
      </c>
      <c r="B563" t="s">
        <v>23</v>
      </c>
      <c r="C563" s="2">
        <v>46350</v>
      </c>
      <c r="D563" t="s">
        <v>48</v>
      </c>
      <c r="E563">
        <v>291674.34999999998</v>
      </c>
      <c r="F563" s="3">
        <f t="shared" si="8"/>
        <v>291.67435</v>
      </c>
    </row>
    <row r="564" spans="1:6" hidden="1">
      <c r="A564" t="s">
        <v>36</v>
      </c>
      <c r="B564" t="s">
        <v>23</v>
      </c>
      <c r="C564" s="2">
        <v>46328</v>
      </c>
      <c r="D564" t="s">
        <v>45</v>
      </c>
      <c r="E564">
        <v>129847.93</v>
      </c>
      <c r="F564" s="3">
        <f t="shared" si="8"/>
        <v>129.84792999999999</v>
      </c>
    </row>
    <row r="565" spans="1:6" hidden="1">
      <c r="A565" t="s">
        <v>36</v>
      </c>
      <c r="B565" t="s">
        <v>23</v>
      </c>
      <c r="C565" s="2">
        <v>46329</v>
      </c>
      <c r="D565" t="s">
        <v>44</v>
      </c>
      <c r="E565">
        <v>119136.7</v>
      </c>
      <c r="F565" s="3">
        <f t="shared" si="8"/>
        <v>119.13669999999999</v>
      </c>
    </row>
    <row r="566" spans="1:6" hidden="1">
      <c r="A566" t="s">
        <v>36</v>
      </c>
      <c r="B566" t="s">
        <v>23</v>
      </c>
      <c r="C566" s="2">
        <v>46335</v>
      </c>
      <c r="D566" t="s">
        <v>43</v>
      </c>
      <c r="E566">
        <v>113535.76</v>
      </c>
      <c r="F566" s="3">
        <f t="shared" si="8"/>
        <v>113.53576</v>
      </c>
    </row>
    <row r="567" spans="1:6" hidden="1">
      <c r="A567" t="s">
        <v>36</v>
      </c>
      <c r="B567" t="s">
        <v>23</v>
      </c>
      <c r="C567" s="2">
        <v>46328</v>
      </c>
      <c r="D567" t="s">
        <v>47</v>
      </c>
      <c r="E567">
        <v>41475.99</v>
      </c>
      <c r="F567" s="3">
        <f t="shared" si="8"/>
        <v>41.475989999999996</v>
      </c>
    </row>
    <row r="568" spans="1:6" hidden="1">
      <c r="A568" t="s">
        <v>36</v>
      </c>
      <c r="B568" t="s">
        <v>23</v>
      </c>
      <c r="C568" s="2">
        <v>46327</v>
      </c>
      <c r="D568" t="s">
        <v>46</v>
      </c>
      <c r="E568">
        <v>36627.54</v>
      </c>
      <c r="F568" s="3">
        <f t="shared" si="8"/>
        <v>36.627540000000003</v>
      </c>
    </row>
    <row r="569" spans="1:6" hidden="1">
      <c r="A569" t="s">
        <v>36</v>
      </c>
      <c r="B569" t="s">
        <v>23</v>
      </c>
      <c r="C569" s="2">
        <v>46349</v>
      </c>
      <c r="D569" t="s">
        <v>49</v>
      </c>
      <c r="E569">
        <v>33245.83</v>
      </c>
      <c r="F569" s="3">
        <f t="shared" si="8"/>
        <v>33.245830000000005</v>
      </c>
    </row>
    <row r="570" spans="1:6" hidden="1">
      <c r="A570" t="s">
        <v>36</v>
      </c>
      <c r="B570" t="s">
        <v>23</v>
      </c>
      <c r="C570" s="2">
        <v>46350</v>
      </c>
      <c r="D570" t="s">
        <v>50</v>
      </c>
      <c r="E570">
        <v>5981.14</v>
      </c>
      <c r="F570" s="3">
        <f t="shared" si="8"/>
        <v>5.9811399999999999</v>
      </c>
    </row>
    <row r="571" spans="1:6" hidden="1">
      <c r="A571" t="s">
        <v>36</v>
      </c>
      <c r="B571" t="s">
        <v>23</v>
      </c>
      <c r="C571" s="2">
        <v>46327</v>
      </c>
      <c r="D571" t="s">
        <v>51</v>
      </c>
      <c r="E571">
        <v>0</v>
      </c>
      <c r="F571" s="3">
        <f t="shared" si="8"/>
        <v>0</v>
      </c>
    </row>
    <row r="572" spans="1:6" hidden="1">
      <c r="A572" t="s">
        <v>36</v>
      </c>
      <c r="B572" t="s">
        <v>24</v>
      </c>
      <c r="C572" s="2">
        <v>46353</v>
      </c>
      <c r="D572" t="s">
        <v>48</v>
      </c>
      <c r="E572">
        <v>680291.26</v>
      </c>
      <c r="F572" s="3">
        <f t="shared" si="8"/>
        <v>680.29125999999997</v>
      </c>
    </row>
    <row r="573" spans="1:6" hidden="1">
      <c r="A573" t="s">
        <v>36</v>
      </c>
      <c r="B573" t="s">
        <v>24</v>
      </c>
      <c r="C573" s="2">
        <v>46327</v>
      </c>
      <c r="D573" t="s">
        <v>45</v>
      </c>
      <c r="E573">
        <v>248468.53</v>
      </c>
      <c r="F573" s="3">
        <f t="shared" si="8"/>
        <v>248.46852999999999</v>
      </c>
    </row>
    <row r="574" spans="1:6" hidden="1">
      <c r="A574" t="s">
        <v>36</v>
      </c>
      <c r="B574" t="s">
        <v>24</v>
      </c>
      <c r="C574" s="2">
        <v>46346</v>
      </c>
      <c r="D574" t="s">
        <v>44</v>
      </c>
      <c r="E574">
        <v>193086.43</v>
      </c>
      <c r="F574" s="3">
        <f t="shared" si="8"/>
        <v>193.08643000000001</v>
      </c>
    </row>
    <row r="575" spans="1:6" hidden="1">
      <c r="A575" t="s">
        <v>36</v>
      </c>
      <c r="B575" t="s">
        <v>24</v>
      </c>
      <c r="C575" s="2">
        <v>46327</v>
      </c>
      <c r="D575" t="s">
        <v>43</v>
      </c>
      <c r="E575">
        <v>171432.46</v>
      </c>
      <c r="F575" s="3">
        <f t="shared" si="8"/>
        <v>171.43245999999999</v>
      </c>
    </row>
    <row r="576" spans="1:6" hidden="1">
      <c r="A576" t="s">
        <v>36</v>
      </c>
      <c r="B576" t="s">
        <v>24</v>
      </c>
      <c r="C576" s="2">
        <v>46352</v>
      </c>
      <c r="D576" t="s">
        <v>49</v>
      </c>
      <c r="E576">
        <v>56090.89</v>
      </c>
      <c r="F576" s="3">
        <f t="shared" si="8"/>
        <v>56.090890000000002</v>
      </c>
    </row>
    <row r="577" spans="1:6" hidden="1">
      <c r="A577" t="s">
        <v>36</v>
      </c>
      <c r="B577" t="s">
        <v>24</v>
      </c>
      <c r="C577" s="2">
        <v>46327</v>
      </c>
      <c r="D577" t="s">
        <v>47</v>
      </c>
      <c r="E577">
        <v>52547.99</v>
      </c>
      <c r="F577" s="3">
        <f t="shared" si="8"/>
        <v>52.547989999999999</v>
      </c>
    </row>
    <row r="578" spans="1:6" hidden="1">
      <c r="A578" t="s">
        <v>36</v>
      </c>
      <c r="B578" t="s">
        <v>24</v>
      </c>
      <c r="C578" s="2">
        <v>46341</v>
      </c>
      <c r="D578" t="s">
        <v>46</v>
      </c>
      <c r="E578">
        <v>40858.71</v>
      </c>
      <c r="F578" s="3">
        <f t="shared" si="8"/>
        <v>40.858710000000002</v>
      </c>
    </row>
    <row r="579" spans="1:6" hidden="1">
      <c r="A579" t="s">
        <v>36</v>
      </c>
      <c r="B579" t="s">
        <v>24</v>
      </c>
      <c r="C579" s="2">
        <v>46353</v>
      </c>
      <c r="D579" t="s">
        <v>50</v>
      </c>
      <c r="E579">
        <v>14361.62</v>
      </c>
      <c r="F579" s="3">
        <f t="shared" ref="F579:F642" si="9">E579/1000</f>
        <v>14.36162</v>
      </c>
    </row>
    <row r="580" spans="1:6" hidden="1">
      <c r="A580" t="s">
        <v>36</v>
      </c>
      <c r="B580" t="s">
        <v>24</v>
      </c>
      <c r="C580" s="2">
        <v>46327</v>
      </c>
      <c r="D580" t="s">
        <v>51</v>
      </c>
      <c r="E580">
        <v>0</v>
      </c>
      <c r="F580" s="3">
        <f t="shared" si="9"/>
        <v>0</v>
      </c>
    </row>
    <row r="581" spans="1:6" hidden="1">
      <c r="A581" t="s">
        <v>36</v>
      </c>
      <c r="B581" t="s">
        <v>25</v>
      </c>
      <c r="C581" s="2">
        <v>46330</v>
      </c>
      <c r="D581" t="s">
        <v>44</v>
      </c>
      <c r="E581">
        <v>98053.15</v>
      </c>
      <c r="F581" s="3">
        <f t="shared" si="9"/>
        <v>98.053149999999988</v>
      </c>
    </row>
    <row r="582" spans="1:6" hidden="1">
      <c r="A582" t="s">
        <v>36</v>
      </c>
      <c r="B582" t="s">
        <v>25</v>
      </c>
      <c r="C582" s="2">
        <v>46330</v>
      </c>
      <c r="D582" t="s">
        <v>46</v>
      </c>
      <c r="E582">
        <v>50838.76</v>
      </c>
      <c r="F582" s="3">
        <f t="shared" si="9"/>
        <v>50.838760000000001</v>
      </c>
    </row>
    <row r="583" spans="1:6" hidden="1">
      <c r="A583" t="s">
        <v>36</v>
      </c>
      <c r="B583" t="s">
        <v>25</v>
      </c>
      <c r="C583" s="2">
        <v>46330</v>
      </c>
      <c r="D583" t="s">
        <v>45</v>
      </c>
      <c r="E583">
        <v>50644.84</v>
      </c>
      <c r="F583" s="3">
        <f t="shared" si="9"/>
        <v>50.644839999999995</v>
      </c>
    </row>
    <row r="584" spans="1:6" hidden="1">
      <c r="A584" t="s">
        <v>36</v>
      </c>
      <c r="B584" t="s">
        <v>25</v>
      </c>
      <c r="C584" s="2">
        <v>46342</v>
      </c>
      <c r="D584" t="s">
        <v>48</v>
      </c>
      <c r="E584">
        <v>45514.7</v>
      </c>
      <c r="F584" s="3">
        <f t="shared" si="9"/>
        <v>45.514699999999998</v>
      </c>
    </row>
    <row r="585" spans="1:6" hidden="1">
      <c r="A585" t="s">
        <v>36</v>
      </c>
      <c r="B585" t="s">
        <v>25</v>
      </c>
      <c r="C585" s="2">
        <v>46330</v>
      </c>
      <c r="D585" t="s">
        <v>43</v>
      </c>
      <c r="E585">
        <v>40208.83</v>
      </c>
      <c r="F585" s="3">
        <f t="shared" si="9"/>
        <v>40.208829999999999</v>
      </c>
    </row>
    <row r="586" spans="1:6" hidden="1">
      <c r="A586" t="s">
        <v>36</v>
      </c>
      <c r="B586" t="s">
        <v>25</v>
      </c>
      <c r="C586" s="2">
        <v>46330</v>
      </c>
      <c r="D586" t="s">
        <v>47</v>
      </c>
      <c r="E586">
        <v>31993.35</v>
      </c>
      <c r="F586" s="3">
        <f t="shared" si="9"/>
        <v>31.99335</v>
      </c>
    </row>
    <row r="587" spans="1:6" hidden="1">
      <c r="A587" t="s">
        <v>36</v>
      </c>
      <c r="B587" t="s">
        <v>25</v>
      </c>
      <c r="C587" s="2">
        <v>46330</v>
      </c>
      <c r="D587" t="s">
        <v>49</v>
      </c>
      <c r="E587">
        <v>9569.77</v>
      </c>
      <c r="F587" s="3">
        <f t="shared" si="9"/>
        <v>9.5697700000000001</v>
      </c>
    </row>
    <row r="588" spans="1:6" hidden="1">
      <c r="A588" t="s">
        <v>36</v>
      </c>
      <c r="B588" t="s">
        <v>25</v>
      </c>
      <c r="C588" s="2">
        <v>46327</v>
      </c>
      <c r="D588" t="s">
        <v>51</v>
      </c>
      <c r="E588">
        <v>0</v>
      </c>
      <c r="F588" s="3">
        <f t="shared" si="9"/>
        <v>0</v>
      </c>
    </row>
    <row r="589" spans="1:6" hidden="1">
      <c r="A589" t="s">
        <v>36</v>
      </c>
      <c r="B589" t="s">
        <v>25</v>
      </c>
      <c r="C589" s="2">
        <v>46327</v>
      </c>
      <c r="D589" t="s">
        <v>50</v>
      </c>
      <c r="E589">
        <v>0</v>
      </c>
      <c r="F589" s="3">
        <f t="shared" si="9"/>
        <v>0</v>
      </c>
    </row>
    <row r="590" spans="1:6" hidden="1">
      <c r="A590" t="s">
        <v>36</v>
      </c>
      <c r="B590" t="s">
        <v>26</v>
      </c>
      <c r="C590" s="2">
        <v>46329</v>
      </c>
      <c r="D590" t="s">
        <v>45</v>
      </c>
      <c r="E590">
        <v>323706.77</v>
      </c>
      <c r="F590" s="3">
        <f t="shared" si="9"/>
        <v>323.70677000000001</v>
      </c>
    </row>
    <row r="591" spans="1:6" hidden="1">
      <c r="A591" t="s">
        <v>36</v>
      </c>
      <c r="B591" t="s">
        <v>26</v>
      </c>
      <c r="C591" s="2">
        <v>46350</v>
      </c>
      <c r="D591" t="s">
        <v>46</v>
      </c>
      <c r="E591">
        <v>150008.29999999999</v>
      </c>
      <c r="F591" s="3">
        <f t="shared" si="9"/>
        <v>150.00829999999999</v>
      </c>
    </row>
    <row r="592" spans="1:6" hidden="1">
      <c r="A592" t="s">
        <v>36</v>
      </c>
      <c r="B592" t="s">
        <v>26</v>
      </c>
      <c r="C592" s="2">
        <v>46335</v>
      </c>
      <c r="D592" t="s">
        <v>43</v>
      </c>
      <c r="E592">
        <v>127624.64</v>
      </c>
      <c r="F592" s="3">
        <f t="shared" si="9"/>
        <v>127.62464</v>
      </c>
    </row>
    <row r="593" spans="1:6" hidden="1">
      <c r="A593" t="s">
        <v>36</v>
      </c>
      <c r="B593" t="s">
        <v>26</v>
      </c>
      <c r="C593" s="2">
        <v>46329</v>
      </c>
      <c r="D593" t="s">
        <v>44</v>
      </c>
      <c r="E593">
        <v>102172.24</v>
      </c>
      <c r="F593" s="3">
        <f t="shared" si="9"/>
        <v>102.17224</v>
      </c>
    </row>
    <row r="594" spans="1:6" hidden="1">
      <c r="A594" t="s">
        <v>36</v>
      </c>
      <c r="B594" t="s">
        <v>26</v>
      </c>
      <c r="C594" s="2">
        <v>46350</v>
      </c>
      <c r="D594" t="s">
        <v>48</v>
      </c>
      <c r="E594">
        <v>64845.11</v>
      </c>
      <c r="F594" s="3">
        <f t="shared" si="9"/>
        <v>64.845110000000005</v>
      </c>
    </row>
    <row r="595" spans="1:6" hidden="1">
      <c r="A595" t="s">
        <v>36</v>
      </c>
      <c r="B595" t="s">
        <v>26</v>
      </c>
      <c r="C595" s="2">
        <v>46350</v>
      </c>
      <c r="D595" t="s">
        <v>49</v>
      </c>
      <c r="E595">
        <v>61220.85</v>
      </c>
      <c r="F595" s="3">
        <f t="shared" si="9"/>
        <v>61.220849999999999</v>
      </c>
    </row>
    <row r="596" spans="1:6" hidden="1">
      <c r="A596" t="s">
        <v>36</v>
      </c>
      <c r="B596" t="s">
        <v>26</v>
      </c>
      <c r="C596" s="2">
        <v>46335</v>
      </c>
      <c r="D596" t="s">
        <v>47</v>
      </c>
      <c r="E596">
        <v>58048.15</v>
      </c>
      <c r="F596" s="3">
        <f t="shared" si="9"/>
        <v>58.04815</v>
      </c>
    </row>
    <row r="597" spans="1:6" hidden="1">
      <c r="A597" t="s">
        <v>36</v>
      </c>
      <c r="B597" t="s">
        <v>26</v>
      </c>
      <c r="C597" s="2">
        <v>46349</v>
      </c>
      <c r="D597" t="s">
        <v>50</v>
      </c>
      <c r="E597">
        <v>4065.91</v>
      </c>
      <c r="F597" s="3">
        <f t="shared" si="9"/>
        <v>4.0659099999999997</v>
      </c>
    </row>
    <row r="598" spans="1:6" hidden="1">
      <c r="A598" t="s">
        <v>36</v>
      </c>
      <c r="B598" t="s">
        <v>26</v>
      </c>
      <c r="C598" s="2">
        <v>46327</v>
      </c>
      <c r="D598" t="s">
        <v>51</v>
      </c>
      <c r="E598">
        <v>0</v>
      </c>
      <c r="F598" s="3">
        <f t="shared" si="9"/>
        <v>0</v>
      </c>
    </row>
    <row r="599" spans="1:6" hidden="1">
      <c r="A599" t="s">
        <v>36</v>
      </c>
      <c r="B599" t="s">
        <v>27</v>
      </c>
      <c r="C599" s="2">
        <v>46331</v>
      </c>
      <c r="D599" t="s">
        <v>45</v>
      </c>
      <c r="E599">
        <v>212268.93</v>
      </c>
      <c r="F599" s="3">
        <f t="shared" si="9"/>
        <v>212.26892999999998</v>
      </c>
    </row>
    <row r="600" spans="1:6" hidden="1">
      <c r="A600" t="s">
        <v>36</v>
      </c>
      <c r="B600" t="s">
        <v>27</v>
      </c>
      <c r="C600" s="2">
        <v>46350</v>
      </c>
      <c r="D600" t="s">
        <v>46</v>
      </c>
      <c r="E600">
        <v>108862.94</v>
      </c>
      <c r="F600" s="3">
        <f t="shared" si="9"/>
        <v>108.86294000000001</v>
      </c>
    </row>
    <row r="601" spans="1:6" hidden="1">
      <c r="A601" t="s">
        <v>36</v>
      </c>
      <c r="B601" t="s">
        <v>27</v>
      </c>
      <c r="C601" s="2">
        <v>46327</v>
      </c>
      <c r="D601" t="s">
        <v>43</v>
      </c>
      <c r="E601">
        <v>73529.5</v>
      </c>
      <c r="F601" s="3">
        <f t="shared" si="9"/>
        <v>73.529499999999999</v>
      </c>
    </row>
    <row r="602" spans="1:6" hidden="1">
      <c r="A602" t="s">
        <v>36</v>
      </c>
      <c r="B602" t="s">
        <v>27</v>
      </c>
      <c r="C602" s="2">
        <v>46327</v>
      </c>
      <c r="D602" t="s">
        <v>44</v>
      </c>
      <c r="E602">
        <v>68027.95</v>
      </c>
      <c r="F602" s="3">
        <f t="shared" si="9"/>
        <v>68.027950000000004</v>
      </c>
    </row>
    <row r="603" spans="1:6" hidden="1">
      <c r="A603" t="s">
        <v>36</v>
      </c>
      <c r="B603" t="s">
        <v>27</v>
      </c>
      <c r="C603" s="2">
        <v>46350</v>
      </c>
      <c r="D603" t="s">
        <v>48</v>
      </c>
      <c r="E603">
        <v>44098.47</v>
      </c>
      <c r="F603" s="3">
        <f t="shared" si="9"/>
        <v>44.098469999999999</v>
      </c>
    </row>
    <row r="604" spans="1:6" hidden="1">
      <c r="A604" t="s">
        <v>36</v>
      </c>
      <c r="B604" t="s">
        <v>27</v>
      </c>
      <c r="C604" s="2">
        <v>46344</v>
      </c>
      <c r="D604" t="s">
        <v>49</v>
      </c>
      <c r="E604">
        <v>42459.22</v>
      </c>
      <c r="F604" s="3">
        <f t="shared" si="9"/>
        <v>42.459220000000002</v>
      </c>
    </row>
    <row r="605" spans="1:6" hidden="1">
      <c r="A605" t="s">
        <v>36</v>
      </c>
      <c r="B605" t="s">
        <v>27</v>
      </c>
      <c r="C605" s="2">
        <v>46327</v>
      </c>
      <c r="D605" t="s">
        <v>47</v>
      </c>
      <c r="E605">
        <v>42023.32</v>
      </c>
      <c r="F605" s="3">
        <f t="shared" si="9"/>
        <v>42.023319999999998</v>
      </c>
    </row>
    <row r="606" spans="1:6" hidden="1">
      <c r="A606" t="s">
        <v>36</v>
      </c>
      <c r="B606" t="s">
        <v>27</v>
      </c>
      <c r="C606" s="2">
        <v>46351</v>
      </c>
      <c r="D606" t="s">
        <v>50</v>
      </c>
      <c r="E606">
        <v>2675.86</v>
      </c>
      <c r="F606" s="3">
        <f t="shared" si="9"/>
        <v>2.6758600000000001</v>
      </c>
    </row>
    <row r="607" spans="1:6" hidden="1">
      <c r="A607" t="s">
        <v>36</v>
      </c>
      <c r="B607" t="s">
        <v>27</v>
      </c>
      <c r="C607" s="2">
        <v>46327</v>
      </c>
      <c r="D607" t="s">
        <v>51</v>
      </c>
      <c r="E607">
        <v>0</v>
      </c>
      <c r="F607" s="3">
        <f t="shared" si="9"/>
        <v>0</v>
      </c>
    </row>
    <row r="608" spans="1:6" hidden="1">
      <c r="A608" t="s">
        <v>36</v>
      </c>
      <c r="B608" t="s">
        <v>28</v>
      </c>
      <c r="C608" s="2">
        <v>46328</v>
      </c>
      <c r="D608" t="s">
        <v>44</v>
      </c>
      <c r="E608">
        <v>228539.69</v>
      </c>
      <c r="F608" s="3">
        <f t="shared" si="9"/>
        <v>228.53969000000001</v>
      </c>
    </row>
    <row r="609" spans="1:6" hidden="1">
      <c r="A609" t="s">
        <v>36</v>
      </c>
      <c r="B609" t="s">
        <v>28</v>
      </c>
      <c r="C609" s="2">
        <v>46328</v>
      </c>
      <c r="D609" t="s">
        <v>46</v>
      </c>
      <c r="E609">
        <v>133562.82</v>
      </c>
      <c r="F609" s="3">
        <f t="shared" si="9"/>
        <v>133.56282000000002</v>
      </c>
    </row>
    <row r="610" spans="1:6" hidden="1">
      <c r="A610" t="s">
        <v>36</v>
      </c>
      <c r="B610" t="s">
        <v>28</v>
      </c>
      <c r="C610" s="2">
        <v>46353</v>
      </c>
      <c r="D610" t="s">
        <v>48</v>
      </c>
      <c r="E610">
        <v>88973.47</v>
      </c>
      <c r="F610" s="3">
        <f t="shared" si="9"/>
        <v>88.973470000000006</v>
      </c>
    </row>
    <row r="611" spans="1:6" hidden="1">
      <c r="A611" t="s">
        <v>36</v>
      </c>
      <c r="B611" t="s">
        <v>28</v>
      </c>
      <c r="C611" s="2">
        <v>46328</v>
      </c>
      <c r="D611" t="s">
        <v>45</v>
      </c>
      <c r="E611">
        <v>87197.96</v>
      </c>
      <c r="F611" s="3">
        <f t="shared" si="9"/>
        <v>87.197960000000009</v>
      </c>
    </row>
    <row r="612" spans="1:6" hidden="1">
      <c r="A612" t="s">
        <v>36</v>
      </c>
      <c r="B612" t="s">
        <v>28</v>
      </c>
      <c r="C612" s="2">
        <v>46328</v>
      </c>
      <c r="D612" t="s">
        <v>43</v>
      </c>
      <c r="E612">
        <v>75555.05</v>
      </c>
      <c r="F612" s="3">
        <f t="shared" si="9"/>
        <v>75.555050000000008</v>
      </c>
    </row>
    <row r="613" spans="1:6" hidden="1">
      <c r="A613" t="s">
        <v>36</v>
      </c>
      <c r="B613" t="s">
        <v>28</v>
      </c>
      <c r="C613" s="2">
        <v>46328</v>
      </c>
      <c r="D613" t="s">
        <v>47</v>
      </c>
      <c r="E613">
        <v>35415.449999999997</v>
      </c>
      <c r="F613" s="3">
        <f t="shared" si="9"/>
        <v>35.41545</v>
      </c>
    </row>
    <row r="614" spans="1:6" hidden="1">
      <c r="A614" t="s">
        <v>36</v>
      </c>
      <c r="B614" t="s">
        <v>28</v>
      </c>
      <c r="C614" s="2">
        <v>46353</v>
      </c>
      <c r="D614" t="s">
        <v>49</v>
      </c>
      <c r="E614">
        <v>19870.2</v>
      </c>
      <c r="F614" s="3">
        <f t="shared" si="9"/>
        <v>19.870200000000001</v>
      </c>
    </row>
    <row r="615" spans="1:6" hidden="1">
      <c r="A615" t="s">
        <v>36</v>
      </c>
      <c r="B615" t="s">
        <v>28</v>
      </c>
      <c r="C615" s="2">
        <v>46353</v>
      </c>
      <c r="D615" t="s">
        <v>50</v>
      </c>
      <c r="E615">
        <v>3076.24</v>
      </c>
      <c r="F615" s="3">
        <f t="shared" si="9"/>
        <v>3.0762399999999999</v>
      </c>
    </row>
    <row r="616" spans="1:6" hidden="1">
      <c r="A616" t="s">
        <v>36</v>
      </c>
      <c r="B616" t="s">
        <v>28</v>
      </c>
      <c r="C616" s="2">
        <v>46327</v>
      </c>
      <c r="D616" t="s">
        <v>51</v>
      </c>
      <c r="E616">
        <v>0</v>
      </c>
      <c r="F616" s="3">
        <f t="shared" si="9"/>
        <v>0</v>
      </c>
    </row>
    <row r="617" spans="1:6" hidden="1">
      <c r="A617" t="s">
        <v>36</v>
      </c>
      <c r="B617" t="s">
        <v>29</v>
      </c>
      <c r="C617" s="2">
        <v>46327</v>
      </c>
      <c r="D617" t="s">
        <v>45</v>
      </c>
      <c r="E617">
        <v>408156.57</v>
      </c>
      <c r="F617" s="3">
        <f t="shared" si="9"/>
        <v>408.15656999999999</v>
      </c>
    </row>
    <row r="618" spans="1:6" hidden="1">
      <c r="A618" t="s">
        <v>36</v>
      </c>
      <c r="B618" t="s">
        <v>29</v>
      </c>
      <c r="C618" s="2">
        <v>46329</v>
      </c>
      <c r="D618" t="s">
        <v>44</v>
      </c>
      <c r="E618">
        <v>305922.08</v>
      </c>
      <c r="F618" s="3">
        <f t="shared" si="9"/>
        <v>305.92207999999999</v>
      </c>
    </row>
    <row r="619" spans="1:6" hidden="1">
      <c r="A619" t="s">
        <v>36</v>
      </c>
      <c r="B619" t="s">
        <v>29</v>
      </c>
      <c r="C619" s="2">
        <v>46327</v>
      </c>
      <c r="D619" t="s">
        <v>43</v>
      </c>
      <c r="E619">
        <v>222556.38</v>
      </c>
      <c r="F619" s="3">
        <f t="shared" si="9"/>
        <v>222.55638000000002</v>
      </c>
    </row>
    <row r="620" spans="1:6" hidden="1">
      <c r="A620" t="s">
        <v>36</v>
      </c>
      <c r="B620" t="s">
        <v>29</v>
      </c>
      <c r="C620" s="2">
        <v>46327</v>
      </c>
      <c r="D620" t="s">
        <v>46</v>
      </c>
      <c r="E620">
        <v>219983.49</v>
      </c>
      <c r="F620" s="3">
        <f t="shared" si="9"/>
        <v>219.98348999999999</v>
      </c>
    </row>
    <row r="621" spans="1:6" hidden="1">
      <c r="A621" t="s">
        <v>36</v>
      </c>
      <c r="B621" t="s">
        <v>29</v>
      </c>
      <c r="C621" s="2">
        <v>46349</v>
      </c>
      <c r="D621" t="s">
        <v>48</v>
      </c>
      <c r="E621">
        <v>117598.28</v>
      </c>
      <c r="F621" s="3">
        <f t="shared" si="9"/>
        <v>117.59828</v>
      </c>
    </row>
    <row r="622" spans="1:6" hidden="1">
      <c r="A622" t="s">
        <v>36</v>
      </c>
      <c r="B622" t="s">
        <v>29</v>
      </c>
      <c r="C622" s="2">
        <v>46327</v>
      </c>
      <c r="D622" t="s">
        <v>47</v>
      </c>
      <c r="E622">
        <v>69504.37</v>
      </c>
      <c r="F622" s="3">
        <f t="shared" si="9"/>
        <v>69.504369999999994</v>
      </c>
    </row>
    <row r="623" spans="1:6" hidden="1">
      <c r="A623" t="s">
        <v>36</v>
      </c>
      <c r="B623" t="s">
        <v>29</v>
      </c>
      <c r="C623" s="2">
        <v>46351</v>
      </c>
      <c r="D623" t="s">
        <v>49</v>
      </c>
      <c r="E623">
        <v>45617.93</v>
      </c>
      <c r="F623" s="3">
        <f t="shared" si="9"/>
        <v>45.617930000000001</v>
      </c>
    </row>
    <row r="624" spans="1:6" hidden="1">
      <c r="A624" t="s">
        <v>36</v>
      </c>
      <c r="B624" t="s">
        <v>29</v>
      </c>
      <c r="C624" s="2">
        <v>46349</v>
      </c>
      <c r="D624" t="s">
        <v>50</v>
      </c>
      <c r="E624">
        <v>8101.64</v>
      </c>
      <c r="F624" s="3">
        <f t="shared" si="9"/>
        <v>8.1016399999999997</v>
      </c>
    </row>
    <row r="625" spans="1:6" hidden="1">
      <c r="A625" t="s">
        <v>36</v>
      </c>
      <c r="B625" t="s">
        <v>29</v>
      </c>
      <c r="C625" s="2">
        <v>46327</v>
      </c>
      <c r="D625" t="s">
        <v>51</v>
      </c>
      <c r="E625">
        <v>0</v>
      </c>
      <c r="F625" s="3">
        <f t="shared" si="9"/>
        <v>0</v>
      </c>
    </row>
    <row r="626" spans="1:6" hidden="1">
      <c r="A626" t="s">
        <v>36</v>
      </c>
      <c r="B626" t="s">
        <v>30</v>
      </c>
      <c r="C626" s="2">
        <v>46329</v>
      </c>
      <c r="D626" t="s">
        <v>45</v>
      </c>
      <c r="E626">
        <v>277373.88</v>
      </c>
      <c r="F626" s="3">
        <f t="shared" si="9"/>
        <v>277.37387999999999</v>
      </c>
    </row>
    <row r="627" spans="1:6" hidden="1">
      <c r="A627" t="s">
        <v>36</v>
      </c>
      <c r="B627" t="s">
        <v>30</v>
      </c>
      <c r="C627" s="2">
        <v>46329</v>
      </c>
      <c r="D627" t="s">
        <v>44</v>
      </c>
      <c r="E627">
        <v>180803.47</v>
      </c>
      <c r="F627" s="3">
        <f t="shared" si="9"/>
        <v>180.80347</v>
      </c>
    </row>
    <row r="628" spans="1:6" hidden="1">
      <c r="A628" t="s">
        <v>36</v>
      </c>
      <c r="B628" t="s">
        <v>30</v>
      </c>
      <c r="C628" s="2">
        <v>46327</v>
      </c>
      <c r="D628" t="s">
        <v>46</v>
      </c>
      <c r="E628">
        <v>144623.35999999999</v>
      </c>
      <c r="F628" s="3">
        <f t="shared" si="9"/>
        <v>144.62335999999999</v>
      </c>
    </row>
    <row r="629" spans="1:6" hidden="1">
      <c r="A629" t="s">
        <v>36</v>
      </c>
      <c r="B629" t="s">
        <v>30</v>
      </c>
      <c r="C629" s="2">
        <v>46329</v>
      </c>
      <c r="D629" t="s">
        <v>43</v>
      </c>
      <c r="E629">
        <v>144620.5</v>
      </c>
      <c r="F629" s="3">
        <f t="shared" si="9"/>
        <v>144.62049999999999</v>
      </c>
    </row>
    <row r="630" spans="1:6" hidden="1">
      <c r="A630" t="s">
        <v>36</v>
      </c>
      <c r="B630" t="s">
        <v>30</v>
      </c>
      <c r="C630" s="2">
        <v>46351</v>
      </c>
      <c r="D630" t="s">
        <v>48</v>
      </c>
      <c r="E630">
        <v>82988.899999999994</v>
      </c>
      <c r="F630" s="3">
        <f t="shared" si="9"/>
        <v>82.988900000000001</v>
      </c>
    </row>
    <row r="631" spans="1:6" hidden="1">
      <c r="A631" t="s">
        <v>36</v>
      </c>
      <c r="B631" t="s">
        <v>30</v>
      </c>
      <c r="C631" s="2">
        <v>46327</v>
      </c>
      <c r="D631" t="s">
        <v>47</v>
      </c>
      <c r="E631">
        <v>42819.07</v>
      </c>
      <c r="F631" s="3">
        <f t="shared" si="9"/>
        <v>42.819069999999996</v>
      </c>
    </row>
    <row r="632" spans="1:6" hidden="1">
      <c r="A632" t="s">
        <v>36</v>
      </c>
      <c r="B632" t="s">
        <v>30</v>
      </c>
      <c r="C632" s="2">
        <v>46351</v>
      </c>
      <c r="D632" t="s">
        <v>49</v>
      </c>
      <c r="E632">
        <v>32838.400000000001</v>
      </c>
      <c r="F632" s="3">
        <f t="shared" si="9"/>
        <v>32.8384</v>
      </c>
    </row>
    <row r="633" spans="1:6" hidden="1">
      <c r="A633" t="s">
        <v>36</v>
      </c>
      <c r="B633" t="s">
        <v>30</v>
      </c>
      <c r="C633" s="2">
        <v>46353</v>
      </c>
      <c r="D633" t="s">
        <v>50</v>
      </c>
      <c r="E633">
        <v>5830.05</v>
      </c>
      <c r="F633" s="3">
        <f t="shared" si="9"/>
        <v>5.83005</v>
      </c>
    </row>
    <row r="634" spans="1:6" hidden="1">
      <c r="A634" t="s">
        <v>36</v>
      </c>
      <c r="B634" t="s">
        <v>30</v>
      </c>
      <c r="C634" s="2">
        <v>46327</v>
      </c>
      <c r="D634" t="s">
        <v>51</v>
      </c>
      <c r="E634">
        <v>0</v>
      </c>
      <c r="F634" s="3">
        <f t="shared" si="9"/>
        <v>0</v>
      </c>
    </row>
    <row r="635" spans="1:6" hidden="1">
      <c r="A635" t="s">
        <v>36</v>
      </c>
      <c r="B635" t="s">
        <v>31</v>
      </c>
      <c r="C635" s="2">
        <v>46329</v>
      </c>
      <c r="D635" t="s">
        <v>45</v>
      </c>
      <c r="E635">
        <v>338799.21</v>
      </c>
      <c r="F635" s="3">
        <f t="shared" si="9"/>
        <v>338.79921000000002</v>
      </c>
    </row>
    <row r="636" spans="1:6" hidden="1">
      <c r="A636" t="s">
        <v>36</v>
      </c>
      <c r="B636" t="s">
        <v>31</v>
      </c>
      <c r="C636" s="2">
        <v>46336</v>
      </c>
      <c r="D636" t="s">
        <v>44</v>
      </c>
      <c r="E636">
        <v>237472.41</v>
      </c>
      <c r="F636" s="3">
        <f t="shared" si="9"/>
        <v>237.47241</v>
      </c>
    </row>
    <row r="637" spans="1:6" hidden="1">
      <c r="A637" t="s">
        <v>36</v>
      </c>
      <c r="B637" t="s">
        <v>31</v>
      </c>
      <c r="C637" s="2">
        <v>46334</v>
      </c>
      <c r="D637" t="s">
        <v>43</v>
      </c>
      <c r="E637">
        <v>178853.47</v>
      </c>
      <c r="F637" s="3">
        <f t="shared" si="9"/>
        <v>178.85346999999999</v>
      </c>
    </row>
    <row r="638" spans="1:6" hidden="1">
      <c r="A638" t="s">
        <v>36</v>
      </c>
      <c r="B638" t="s">
        <v>31</v>
      </c>
      <c r="C638" s="2">
        <v>46327</v>
      </c>
      <c r="D638" t="s">
        <v>46</v>
      </c>
      <c r="E638">
        <v>175339.65</v>
      </c>
      <c r="F638" s="3">
        <f t="shared" si="9"/>
        <v>175.33965000000001</v>
      </c>
    </row>
    <row r="639" spans="1:6" hidden="1">
      <c r="A639" t="s">
        <v>36</v>
      </c>
      <c r="B639" t="s">
        <v>31</v>
      </c>
      <c r="C639" s="2">
        <v>46353</v>
      </c>
      <c r="D639" t="s">
        <v>48</v>
      </c>
      <c r="E639">
        <v>99745.279999999999</v>
      </c>
      <c r="F639" s="3">
        <f t="shared" si="9"/>
        <v>99.745279999999994</v>
      </c>
    </row>
    <row r="640" spans="1:6" hidden="1">
      <c r="A640" t="s">
        <v>36</v>
      </c>
      <c r="B640" t="s">
        <v>31</v>
      </c>
      <c r="C640" s="2">
        <v>46327</v>
      </c>
      <c r="D640" t="s">
        <v>47</v>
      </c>
      <c r="E640">
        <v>54333.18</v>
      </c>
      <c r="F640" s="3">
        <f t="shared" si="9"/>
        <v>54.333179999999999</v>
      </c>
    </row>
    <row r="641" spans="1:6" hidden="1">
      <c r="A641" t="s">
        <v>36</v>
      </c>
      <c r="B641" t="s">
        <v>31</v>
      </c>
      <c r="C641" s="2">
        <v>46349</v>
      </c>
      <c r="D641" t="s">
        <v>49</v>
      </c>
      <c r="E641">
        <v>42220.81</v>
      </c>
      <c r="F641" s="3">
        <f t="shared" si="9"/>
        <v>42.22081</v>
      </c>
    </row>
    <row r="642" spans="1:6" hidden="1">
      <c r="A642" t="s">
        <v>36</v>
      </c>
      <c r="B642" t="s">
        <v>31</v>
      </c>
      <c r="C642" s="2">
        <v>46353</v>
      </c>
      <c r="D642" t="s">
        <v>50</v>
      </c>
      <c r="E642">
        <v>7129.37</v>
      </c>
      <c r="F642" s="3">
        <f t="shared" si="9"/>
        <v>7.1293699999999998</v>
      </c>
    </row>
    <row r="643" spans="1:6" hidden="1">
      <c r="A643" t="s">
        <v>36</v>
      </c>
      <c r="B643" t="s">
        <v>31</v>
      </c>
      <c r="C643" s="2">
        <v>46327</v>
      </c>
      <c r="D643" t="s">
        <v>51</v>
      </c>
      <c r="E643">
        <v>0</v>
      </c>
      <c r="F643" s="3">
        <f t="shared" ref="F643" si="10">E643/1000</f>
        <v>0</v>
      </c>
    </row>
  </sheetData>
  <autoFilter ref="A1:F643" xr:uid="{00000000-0001-0000-0400-000000000000}">
    <filterColumn colId="0">
      <filters>
        <filter val="2026-10"/>
      </filters>
    </filterColumn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4"/>
  <sheetData>
    <row r="1" spans="1:2">
      <c r="A1" s="1" t="s">
        <v>52</v>
      </c>
      <c r="B1" s="1" t="s">
        <v>1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4423960</v>
      </c>
    </row>
    <row r="5" spans="1:2">
      <c r="A5" t="s">
        <v>58</v>
      </c>
      <c r="B5">
        <v>3535</v>
      </c>
    </row>
    <row r="6" spans="1:2">
      <c r="A6" t="s">
        <v>59</v>
      </c>
      <c r="B6">
        <v>3535</v>
      </c>
    </row>
    <row r="7" spans="1:2">
      <c r="A7" t="s">
        <v>60</v>
      </c>
      <c r="B7">
        <v>0</v>
      </c>
    </row>
    <row r="8" spans="1:2">
      <c r="A8" t="s">
        <v>61</v>
      </c>
      <c r="B8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2"/>
  <sheetViews>
    <sheetView workbookViewId="0"/>
  </sheetViews>
  <sheetFormatPr defaultRowHeight="14.4"/>
  <sheetData>
    <row r="1" spans="1:19">
      <c r="A1" s="1" t="s">
        <v>62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</row>
    <row r="2" spans="1:19">
      <c r="A2" t="s">
        <v>80</v>
      </c>
      <c r="B2" t="s">
        <v>29</v>
      </c>
      <c r="C2">
        <v>147901</v>
      </c>
      <c r="D2">
        <v>595927</v>
      </c>
      <c r="E2">
        <v>0.45</v>
      </c>
      <c r="F2">
        <v>0</v>
      </c>
      <c r="G2">
        <v>1</v>
      </c>
      <c r="H2">
        <v>2.2000000000000002</v>
      </c>
      <c r="I2">
        <v>2</v>
      </c>
      <c r="J2">
        <v>3</v>
      </c>
      <c r="K2">
        <v>2.64</v>
      </c>
      <c r="L2">
        <v>3</v>
      </c>
      <c r="M2">
        <v>4</v>
      </c>
      <c r="N2">
        <v>4.8</v>
      </c>
      <c r="O2">
        <v>1</v>
      </c>
      <c r="P2">
        <v>0</v>
      </c>
      <c r="Q2">
        <v>1.3</v>
      </c>
      <c r="R2">
        <v>7.1</v>
      </c>
      <c r="S2">
        <v>-4.46</v>
      </c>
    </row>
    <row r="3" spans="1:19">
      <c r="A3" t="s">
        <v>81</v>
      </c>
      <c r="B3" t="s">
        <v>22</v>
      </c>
      <c r="C3">
        <v>79573</v>
      </c>
      <c r="D3">
        <v>494599</v>
      </c>
      <c r="E3">
        <v>0.4</v>
      </c>
      <c r="F3">
        <v>0</v>
      </c>
      <c r="G3">
        <v>1</v>
      </c>
      <c r="H3">
        <v>0.2</v>
      </c>
      <c r="I3">
        <v>0</v>
      </c>
      <c r="J3">
        <v>1</v>
      </c>
      <c r="K3">
        <v>0.6</v>
      </c>
      <c r="L3">
        <v>0</v>
      </c>
      <c r="M3">
        <v>2</v>
      </c>
      <c r="N3">
        <v>4.2</v>
      </c>
      <c r="O3">
        <v>0.6</v>
      </c>
      <c r="P3">
        <v>0</v>
      </c>
      <c r="Q3">
        <v>0.60000000000000009</v>
      </c>
      <c r="R3">
        <v>5.4</v>
      </c>
      <c r="S3">
        <v>-4.8</v>
      </c>
    </row>
    <row r="4" spans="1:19">
      <c r="A4" t="s">
        <v>80</v>
      </c>
      <c r="B4" t="s">
        <v>31</v>
      </c>
      <c r="C4">
        <v>104533</v>
      </c>
      <c r="D4">
        <v>471889</v>
      </c>
      <c r="E4">
        <v>0.7</v>
      </c>
      <c r="F4">
        <v>1</v>
      </c>
      <c r="G4">
        <v>2</v>
      </c>
      <c r="H4">
        <v>1.2</v>
      </c>
      <c r="I4">
        <v>1</v>
      </c>
      <c r="J4">
        <v>2</v>
      </c>
      <c r="K4">
        <v>1.9</v>
      </c>
      <c r="L4">
        <v>2</v>
      </c>
      <c r="M4">
        <v>3</v>
      </c>
      <c r="N4">
        <v>5.7</v>
      </c>
      <c r="O4">
        <v>0.7</v>
      </c>
      <c r="P4">
        <v>0</v>
      </c>
      <c r="Q4">
        <v>1.5</v>
      </c>
      <c r="R4">
        <v>7.9</v>
      </c>
      <c r="S4">
        <v>-6</v>
      </c>
    </row>
    <row r="5" spans="1:19">
      <c r="A5" t="s">
        <v>82</v>
      </c>
      <c r="B5" t="s">
        <v>22</v>
      </c>
      <c r="C5">
        <v>40516</v>
      </c>
      <c r="D5">
        <v>401776</v>
      </c>
      <c r="E5">
        <v>0.35</v>
      </c>
      <c r="F5">
        <v>0</v>
      </c>
      <c r="G5">
        <v>1</v>
      </c>
      <c r="H5">
        <v>1.2</v>
      </c>
      <c r="I5">
        <v>1</v>
      </c>
      <c r="J5">
        <v>2</v>
      </c>
      <c r="K5">
        <v>1.55</v>
      </c>
      <c r="L5">
        <v>1</v>
      </c>
      <c r="M5">
        <v>3</v>
      </c>
      <c r="N5">
        <v>2.6</v>
      </c>
      <c r="O5">
        <v>0.4</v>
      </c>
      <c r="P5">
        <v>0</v>
      </c>
      <c r="Q5">
        <v>1.4</v>
      </c>
      <c r="R5">
        <v>4.4000000000000004</v>
      </c>
      <c r="S5">
        <v>-2.85</v>
      </c>
    </row>
    <row r="6" spans="1:19">
      <c r="A6" t="s">
        <v>80</v>
      </c>
      <c r="B6" t="s">
        <v>30</v>
      </c>
      <c r="C6">
        <v>102548</v>
      </c>
      <c r="D6">
        <v>388107</v>
      </c>
      <c r="E6">
        <v>0.81</v>
      </c>
      <c r="F6">
        <v>1</v>
      </c>
      <c r="G6">
        <v>2</v>
      </c>
      <c r="H6">
        <v>2.2000000000000002</v>
      </c>
      <c r="I6">
        <v>2</v>
      </c>
      <c r="J6">
        <v>3</v>
      </c>
      <c r="K6">
        <v>3.01</v>
      </c>
      <c r="L6">
        <v>3</v>
      </c>
      <c r="M6">
        <v>4</v>
      </c>
      <c r="N6">
        <v>4.8</v>
      </c>
      <c r="O6">
        <v>1.2</v>
      </c>
      <c r="P6">
        <v>0</v>
      </c>
      <c r="Q6">
        <v>1.3</v>
      </c>
      <c r="R6">
        <v>7.3</v>
      </c>
      <c r="S6">
        <v>-4.29</v>
      </c>
    </row>
    <row r="7" spans="1:19">
      <c r="A7" t="s">
        <v>80</v>
      </c>
      <c r="B7" t="s">
        <v>22</v>
      </c>
      <c r="C7">
        <v>80798</v>
      </c>
      <c r="D7">
        <v>376441</v>
      </c>
      <c r="E7">
        <v>0.48</v>
      </c>
      <c r="F7">
        <v>0</v>
      </c>
      <c r="G7">
        <v>1</v>
      </c>
      <c r="H7">
        <v>1.2</v>
      </c>
      <c r="I7">
        <v>1</v>
      </c>
      <c r="J7">
        <v>2</v>
      </c>
      <c r="K7">
        <v>1.67</v>
      </c>
      <c r="L7">
        <v>2</v>
      </c>
      <c r="M7">
        <v>3</v>
      </c>
      <c r="N7">
        <v>3.3</v>
      </c>
      <c r="O7">
        <v>0.6</v>
      </c>
      <c r="P7">
        <v>0</v>
      </c>
      <c r="Q7">
        <v>1.5</v>
      </c>
      <c r="R7">
        <v>5.4</v>
      </c>
      <c r="S7">
        <v>-3.73</v>
      </c>
    </row>
    <row r="8" spans="1:19">
      <c r="A8" t="s">
        <v>83</v>
      </c>
      <c r="B8" t="s">
        <v>26</v>
      </c>
      <c r="C8">
        <v>55588</v>
      </c>
      <c r="D8">
        <v>289338</v>
      </c>
      <c r="E8">
        <v>0.91</v>
      </c>
      <c r="F8">
        <v>1</v>
      </c>
      <c r="G8">
        <v>2</v>
      </c>
      <c r="H8">
        <v>1.2</v>
      </c>
      <c r="I8">
        <v>1</v>
      </c>
      <c r="J8">
        <v>2</v>
      </c>
      <c r="K8">
        <v>2.11</v>
      </c>
      <c r="L8">
        <v>2</v>
      </c>
      <c r="M8">
        <v>3</v>
      </c>
      <c r="N8">
        <v>3.3</v>
      </c>
      <c r="O8">
        <v>0.2</v>
      </c>
      <c r="P8">
        <v>0</v>
      </c>
      <c r="Q8">
        <v>1.4</v>
      </c>
      <c r="R8">
        <v>4.9000000000000004</v>
      </c>
      <c r="S8">
        <v>-2.79</v>
      </c>
    </row>
    <row r="9" spans="1:19">
      <c r="A9" t="s">
        <v>80</v>
      </c>
      <c r="B9" t="s">
        <v>21</v>
      </c>
      <c r="C9">
        <v>59850</v>
      </c>
      <c r="D9">
        <v>276150</v>
      </c>
      <c r="E9">
        <v>0.89</v>
      </c>
      <c r="F9">
        <v>1</v>
      </c>
      <c r="G9">
        <v>2</v>
      </c>
      <c r="H9">
        <v>0.2</v>
      </c>
      <c r="I9">
        <v>0</v>
      </c>
      <c r="J9">
        <v>1</v>
      </c>
      <c r="K9">
        <v>1.0900000000000001</v>
      </c>
      <c r="L9">
        <v>1</v>
      </c>
      <c r="M9">
        <v>2</v>
      </c>
      <c r="N9">
        <v>3</v>
      </c>
      <c r="O9">
        <v>0.8</v>
      </c>
      <c r="P9">
        <v>0</v>
      </c>
      <c r="Q9">
        <v>0.70000000000000018</v>
      </c>
      <c r="R9">
        <v>4.5</v>
      </c>
      <c r="S9">
        <v>-3.41</v>
      </c>
    </row>
    <row r="10" spans="1:19">
      <c r="A10" t="s">
        <v>84</v>
      </c>
      <c r="B10" t="s">
        <v>24</v>
      </c>
      <c r="C10">
        <v>58691</v>
      </c>
      <c r="D10">
        <v>249123</v>
      </c>
      <c r="E10">
        <v>1.1200000000000001</v>
      </c>
      <c r="F10">
        <v>1</v>
      </c>
      <c r="G10">
        <v>2</v>
      </c>
      <c r="H10">
        <v>0.2</v>
      </c>
      <c r="I10">
        <v>0</v>
      </c>
      <c r="J10">
        <v>1</v>
      </c>
      <c r="K10">
        <v>1.32</v>
      </c>
      <c r="L10">
        <v>1</v>
      </c>
      <c r="M10">
        <v>3</v>
      </c>
      <c r="N10">
        <v>3.6</v>
      </c>
      <c r="O10">
        <v>0.9</v>
      </c>
      <c r="P10">
        <v>0</v>
      </c>
      <c r="Q10">
        <v>0.89999999999999991</v>
      </c>
      <c r="R10">
        <v>5.4</v>
      </c>
      <c r="S10">
        <v>-4.08</v>
      </c>
    </row>
    <row r="11" spans="1:19">
      <c r="A11" t="s">
        <v>84</v>
      </c>
      <c r="B11" t="s">
        <v>20</v>
      </c>
      <c r="C11">
        <v>39121</v>
      </c>
      <c r="D11">
        <v>231227</v>
      </c>
      <c r="E11">
        <v>1.3</v>
      </c>
      <c r="F11">
        <v>1</v>
      </c>
      <c r="G11">
        <v>3</v>
      </c>
      <c r="H11">
        <v>1.21</v>
      </c>
      <c r="I11">
        <v>1</v>
      </c>
      <c r="J11">
        <v>2</v>
      </c>
      <c r="K11">
        <v>2.5099999999999998</v>
      </c>
      <c r="L11">
        <v>2</v>
      </c>
      <c r="M11">
        <v>4</v>
      </c>
      <c r="N11">
        <v>5</v>
      </c>
      <c r="O11">
        <v>0.8</v>
      </c>
      <c r="P11">
        <v>0</v>
      </c>
      <c r="Q11">
        <v>1.6</v>
      </c>
      <c r="R11">
        <v>7.4</v>
      </c>
      <c r="S11">
        <v>-4.8899999999999997</v>
      </c>
    </row>
    <row r="12" spans="1:19">
      <c r="A12" t="s">
        <v>85</v>
      </c>
      <c r="B12" t="s">
        <v>29</v>
      </c>
      <c r="C12">
        <v>20852</v>
      </c>
      <c r="D12">
        <v>224346</v>
      </c>
      <c r="E12">
        <v>0.64</v>
      </c>
      <c r="F12">
        <v>1</v>
      </c>
      <c r="G12">
        <v>2</v>
      </c>
      <c r="H12">
        <v>0.01</v>
      </c>
      <c r="I12">
        <v>0</v>
      </c>
      <c r="J12">
        <v>0</v>
      </c>
      <c r="K12">
        <v>0.65</v>
      </c>
      <c r="L12">
        <v>1</v>
      </c>
      <c r="M12">
        <v>2</v>
      </c>
      <c r="N12">
        <v>2</v>
      </c>
      <c r="O12">
        <v>0.7</v>
      </c>
      <c r="P12">
        <v>0</v>
      </c>
      <c r="Q12">
        <v>0.39999999999999991</v>
      </c>
      <c r="R12">
        <v>3.1</v>
      </c>
      <c r="S12">
        <v>-2.4500000000000002</v>
      </c>
    </row>
    <row r="13" spans="1:19">
      <c r="A13" t="s">
        <v>81</v>
      </c>
      <c r="B13" t="s">
        <v>21</v>
      </c>
      <c r="C13">
        <v>39607</v>
      </c>
      <c r="D13">
        <v>221461</v>
      </c>
      <c r="E13">
        <v>1.23</v>
      </c>
      <c r="F13">
        <v>1</v>
      </c>
      <c r="G13">
        <v>3</v>
      </c>
      <c r="H13">
        <v>0.21</v>
      </c>
      <c r="I13">
        <v>0</v>
      </c>
      <c r="J13">
        <v>1</v>
      </c>
      <c r="K13">
        <v>1.44</v>
      </c>
      <c r="L13">
        <v>1</v>
      </c>
      <c r="M13">
        <v>3</v>
      </c>
      <c r="N13">
        <v>5.4</v>
      </c>
      <c r="O13">
        <v>0.8</v>
      </c>
      <c r="P13">
        <v>0</v>
      </c>
      <c r="Q13">
        <v>0.80000000000000071</v>
      </c>
      <c r="R13">
        <v>7</v>
      </c>
      <c r="S13">
        <v>-5.56</v>
      </c>
    </row>
    <row r="14" spans="1:19">
      <c r="A14" t="s">
        <v>84</v>
      </c>
      <c r="B14" t="s">
        <v>28</v>
      </c>
      <c r="C14">
        <v>80217</v>
      </c>
      <c r="D14">
        <v>209309</v>
      </c>
      <c r="E14">
        <v>1.47</v>
      </c>
      <c r="F14">
        <v>1</v>
      </c>
      <c r="G14">
        <v>3</v>
      </c>
      <c r="H14">
        <v>3.2</v>
      </c>
      <c r="I14">
        <v>3</v>
      </c>
      <c r="J14">
        <v>4</v>
      </c>
      <c r="K14">
        <v>4.67</v>
      </c>
      <c r="L14">
        <v>5</v>
      </c>
      <c r="M14">
        <v>6</v>
      </c>
      <c r="N14">
        <v>7.2</v>
      </c>
      <c r="O14">
        <v>1.3</v>
      </c>
      <c r="P14">
        <v>0</v>
      </c>
      <c r="Q14">
        <v>2.5</v>
      </c>
      <c r="R14">
        <v>11</v>
      </c>
      <c r="S14">
        <v>-6.33</v>
      </c>
    </row>
    <row r="15" spans="1:19">
      <c r="A15" t="s">
        <v>83</v>
      </c>
      <c r="B15" t="s">
        <v>27</v>
      </c>
      <c r="C15">
        <v>32494</v>
      </c>
      <c r="D15">
        <v>156591</v>
      </c>
      <c r="E15">
        <v>1.84</v>
      </c>
      <c r="F15">
        <v>2</v>
      </c>
      <c r="G15">
        <v>4</v>
      </c>
      <c r="H15">
        <v>1.21</v>
      </c>
      <c r="I15">
        <v>1</v>
      </c>
      <c r="J15">
        <v>2</v>
      </c>
      <c r="K15">
        <v>3.05</v>
      </c>
      <c r="L15">
        <v>3</v>
      </c>
      <c r="M15">
        <v>5</v>
      </c>
      <c r="N15">
        <v>2.8</v>
      </c>
      <c r="O15">
        <v>0.2</v>
      </c>
      <c r="P15">
        <v>0</v>
      </c>
      <c r="Q15">
        <v>1.3</v>
      </c>
      <c r="R15">
        <v>4.3</v>
      </c>
      <c r="S15">
        <v>-1.25</v>
      </c>
    </row>
    <row r="16" spans="1:19">
      <c r="A16" t="s">
        <v>85</v>
      </c>
      <c r="B16" t="s">
        <v>31</v>
      </c>
      <c r="C16">
        <v>8488</v>
      </c>
      <c r="D16">
        <v>152858</v>
      </c>
      <c r="E16">
        <v>0.94</v>
      </c>
      <c r="F16">
        <v>1</v>
      </c>
      <c r="G16">
        <v>2</v>
      </c>
      <c r="H16">
        <v>1.01</v>
      </c>
      <c r="I16">
        <v>1</v>
      </c>
      <c r="J16">
        <v>1</v>
      </c>
      <c r="K16">
        <v>1.95</v>
      </c>
      <c r="L16">
        <v>2</v>
      </c>
      <c r="M16">
        <v>3</v>
      </c>
      <c r="N16">
        <v>3.7</v>
      </c>
      <c r="O16">
        <v>0.6</v>
      </c>
      <c r="P16">
        <v>0</v>
      </c>
      <c r="Q16">
        <v>1.3</v>
      </c>
      <c r="R16">
        <v>5.6</v>
      </c>
      <c r="S16">
        <v>-3.65</v>
      </c>
    </row>
    <row r="17" spans="1:19">
      <c r="A17" t="s">
        <v>83</v>
      </c>
      <c r="B17" t="s">
        <v>20</v>
      </c>
      <c r="C17">
        <v>19812</v>
      </c>
      <c r="D17">
        <v>134466</v>
      </c>
      <c r="E17">
        <v>2.4500000000000002</v>
      </c>
      <c r="F17">
        <v>2</v>
      </c>
      <c r="G17">
        <v>5</v>
      </c>
      <c r="H17">
        <v>1.21</v>
      </c>
      <c r="I17">
        <v>1</v>
      </c>
      <c r="J17">
        <v>2</v>
      </c>
      <c r="K17">
        <v>3.66</v>
      </c>
      <c r="L17">
        <v>4</v>
      </c>
      <c r="M17">
        <v>6</v>
      </c>
      <c r="N17">
        <v>9.1999999999999993</v>
      </c>
      <c r="O17">
        <v>0.7</v>
      </c>
      <c r="P17">
        <v>0</v>
      </c>
      <c r="Q17">
        <v>1.399999999999999</v>
      </c>
      <c r="R17">
        <v>11.3</v>
      </c>
      <c r="S17">
        <v>-7.64</v>
      </c>
    </row>
    <row r="18" spans="1:19">
      <c r="A18" t="s">
        <v>83</v>
      </c>
      <c r="B18" t="s">
        <v>24</v>
      </c>
      <c r="C18">
        <v>19042</v>
      </c>
      <c r="D18">
        <v>130259</v>
      </c>
      <c r="E18">
        <v>3.26</v>
      </c>
      <c r="F18">
        <v>3</v>
      </c>
      <c r="G18">
        <v>6</v>
      </c>
      <c r="H18">
        <v>1.21</v>
      </c>
      <c r="I18">
        <v>1</v>
      </c>
      <c r="J18">
        <v>2</v>
      </c>
      <c r="K18">
        <v>4.47</v>
      </c>
      <c r="L18">
        <v>4</v>
      </c>
      <c r="M18">
        <v>7</v>
      </c>
      <c r="N18">
        <v>1.8</v>
      </c>
      <c r="O18">
        <v>1.4</v>
      </c>
      <c r="P18">
        <v>0</v>
      </c>
      <c r="Q18">
        <v>0.9</v>
      </c>
      <c r="R18">
        <v>4.0999999999999996</v>
      </c>
      <c r="S18">
        <v>0.37</v>
      </c>
    </row>
    <row r="19" spans="1:19">
      <c r="A19" t="s">
        <v>85</v>
      </c>
      <c r="B19" t="s">
        <v>30</v>
      </c>
      <c r="C19">
        <v>11148</v>
      </c>
      <c r="D19">
        <v>125225</v>
      </c>
      <c r="E19">
        <v>1.31</v>
      </c>
      <c r="F19">
        <v>1</v>
      </c>
      <c r="G19">
        <v>3</v>
      </c>
      <c r="H19">
        <v>1.01</v>
      </c>
      <c r="I19">
        <v>1</v>
      </c>
      <c r="J19">
        <v>1</v>
      </c>
      <c r="K19">
        <v>2.3199999999999998</v>
      </c>
      <c r="L19">
        <v>2</v>
      </c>
      <c r="M19">
        <v>4</v>
      </c>
      <c r="N19">
        <v>2.8</v>
      </c>
      <c r="O19">
        <v>0.8</v>
      </c>
      <c r="P19">
        <v>0</v>
      </c>
      <c r="Q19">
        <v>1.3</v>
      </c>
      <c r="R19">
        <v>4.9000000000000004</v>
      </c>
      <c r="S19">
        <v>-2.58</v>
      </c>
    </row>
    <row r="20" spans="1:19">
      <c r="A20" t="s">
        <v>84</v>
      </c>
      <c r="B20" t="s">
        <v>23</v>
      </c>
      <c r="C20">
        <v>40602</v>
      </c>
      <c r="D20">
        <v>111109</v>
      </c>
      <c r="E20">
        <v>2.69</v>
      </c>
      <c r="F20">
        <v>3</v>
      </c>
      <c r="G20">
        <v>5</v>
      </c>
      <c r="H20">
        <v>0.2</v>
      </c>
      <c r="I20">
        <v>0</v>
      </c>
      <c r="J20">
        <v>1</v>
      </c>
      <c r="K20">
        <v>2.9</v>
      </c>
      <c r="L20">
        <v>3</v>
      </c>
      <c r="M20">
        <v>6</v>
      </c>
      <c r="N20">
        <v>9.3000000000000007</v>
      </c>
      <c r="O20">
        <v>0.5</v>
      </c>
      <c r="P20">
        <v>0</v>
      </c>
      <c r="Q20">
        <v>0.70000000000000107</v>
      </c>
      <c r="R20">
        <v>10.5</v>
      </c>
      <c r="S20">
        <v>-7.6</v>
      </c>
    </row>
    <row r="21" spans="1:19">
      <c r="A21" t="s">
        <v>86</v>
      </c>
      <c r="B21" t="s">
        <v>24</v>
      </c>
      <c r="C21">
        <v>15719</v>
      </c>
      <c r="D21">
        <v>81288</v>
      </c>
      <c r="E21">
        <v>0.15</v>
      </c>
      <c r="F21">
        <v>0</v>
      </c>
      <c r="G21">
        <v>1</v>
      </c>
      <c r="H21">
        <v>1.21</v>
      </c>
      <c r="I21">
        <v>1</v>
      </c>
      <c r="J21">
        <v>2</v>
      </c>
      <c r="K21">
        <v>1.35</v>
      </c>
      <c r="L21">
        <v>1</v>
      </c>
      <c r="M21">
        <v>2</v>
      </c>
      <c r="N21">
        <v>5.8</v>
      </c>
      <c r="O21">
        <v>0.5</v>
      </c>
      <c r="P21">
        <v>0</v>
      </c>
      <c r="Q21">
        <v>1.2</v>
      </c>
      <c r="R21">
        <v>7.5</v>
      </c>
      <c r="S21">
        <v>-6.15</v>
      </c>
    </row>
    <row r="22" spans="1:19">
      <c r="A22" t="s">
        <v>85</v>
      </c>
      <c r="B22" t="s">
        <v>28</v>
      </c>
      <c r="C22">
        <v>17749</v>
      </c>
      <c r="D22">
        <v>80466</v>
      </c>
      <c r="E22">
        <v>1.1100000000000001</v>
      </c>
      <c r="F22">
        <v>1</v>
      </c>
      <c r="G22">
        <v>2</v>
      </c>
      <c r="H22">
        <v>3.2</v>
      </c>
      <c r="I22">
        <v>3</v>
      </c>
      <c r="J22">
        <v>4</v>
      </c>
      <c r="K22">
        <v>4.3099999999999996</v>
      </c>
      <c r="L22">
        <v>4</v>
      </c>
      <c r="M22">
        <v>5</v>
      </c>
      <c r="N22">
        <v>7.1</v>
      </c>
      <c r="O22">
        <v>0.7</v>
      </c>
      <c r="P22">
        <v>0</v>
      </c>
      <c r="Q22">
        <v>3.6</v>
      </c>
      <c r="R22">
        <v>11.4</v>
      </c>
      <c r="S22">
        <v>-7.09</v>
      </c>
    </row>
    <row r="23" spans="1:19">
      <c r="A23" t="s">
        <v>80</v>
      </c>
      <c r="B23" t="s">
        <v>26</v>
      </c>
      <c r="C23">
        <v>16791</v>
      </c>
      <c r="D23">
        <v>72254</v>
      </c>
      <c r="E23">
        <v>2.84</v>
      </c>
      <c r="F23">
        <v>3</v>
      </c>
      <c r="G23">
        <v>6</v>
      </c>
      <c r="H23">
        <v>1.2</v>
      </c>
      <c r="I23">
        <v>1</v>
      </c>
      <c r="J23">
        <v>2</v>
      </c>
      <c r="K23">
        <v>4.04</v>
      </c>
      <c r="L23">
        <v>4</v>
      </c>
      <c r="M23">
        <v>7</v>
      </c>
      <c r="N23">
        <v>11</v>
      </c>
      <c r="O23">
        <v>0.3</v>
      </c>
      <c r="P23">
        <v>0</v>
      </c>
      <c r="Q23">
        <v>1.8000000000000009</v>
      </c>
      <c r="R23">
        <v>13.1</v>
      </c>
      <c r="S23">
        <v>-9.06</v>
      </c>
    </row>
    <row r="24" spans="1:19">
      <c r="A24" t="s">
        <v>86</v>
      </c>
      <c r="B24" t="s">
        <v>20</v>
      </c>
      <c r="C24">
        <v>4905</v>
      </c>
      <c r="D24">
        <v>69347</v>
      </c>
      <c r="E24">
        <v>0.25</v>
      </c>
      <c r="F24">
        <v>0</v>
      </c>
      <c r="G24">
        <v>1</v>
      </c>
      <c r="H24">
        <v>0.85</v>
      </c>
      <c r="I24">
        <v>1</v>
      </c>
      <c r="J24">
        <v>1</v>
      </c>
      <c r="K24">
        <v>1.1000000000000001</v>
      </c>
      <c r="L24">
        <v>1</v>
      </c>
      <c r="M24">
        <v>2</v>
      </c>
      <c r="N24">
        <v>4.5999999999999996</v>
      </c>
      <c r="O24">
        <v>0.2</v>
      </c>
      <c r="P24">
        <v>0</v>
      </c>
      <c r="Q24">
        <v>0.5</v>
      </c>
      <c r="R24">
        <v>5.3</v>
      </c>
      <c r="S24">
        <v>-4.2</v>
      </c>
    </row>
    <row r="25" spans="1:19">
      <c r="A25" t="s">
        <v>84</v>
      </c>
      <c r="B25" t="s">
        <v>25</v>
      </c>
      <c r="C25">
        <v>24995</v>
      </c>
      <c r="D25">
        <v>65718</v>
      </c>
      <c r="E25">
        <v>2.14</v>
      </c>
      <c r="F25">
        <v>2</v>
      </c>
      <c r="G25">
        <v>4</v>
      </c>
      <c r="H25">
        <v>1.2</v>
      </c>
      <c r="I25">
        <v>1</v>
      </c>
      <c r="J25">
        <v>2</v>
      </c>
      <c r="K25">
        <v>3.34</v>
      </c>
      <c r="L25">
        <v>3</v>
      </c>
      <c r="M25">
        <v>6</v>
      </c>
      <c r="N25">
        <v>5.7</v>
      </c>
      <c r="O25">
        <v>0.7</v>
      </c>
      <c r="P25">
        <v>0</v>
      </c>
      <c r="Q25">
        <v>1.7</v>
      </c>
      <c r="R25">
        <v>8.1</v>
      </c>
      <c r="S25">
        <v>-4.76</v>
      </c>
    </row>
    <row r="26" spans="1:19">
      <c r="A26" t="s">
        <v>83</v>
      </c>
      <c r="B26" t="s">
        <v>23</v>
      </c>
      <c r="C26">
        <v>16402</v>
      </c>
      <c r="D26">
        <v>62212</v>
      </c>
      <c r="E26">
        <v>2.91</v>
      </c>
      <c r="F26">
        <v>3</v>
      </c>
      <c r="G26">
        <v>6</v>
      </c>
      <c r="H26">
        <v>4.21</v>
      </c>
      <c r="I26">
        <v>4</v>
      </c>
      <c r="J26">
        <v>5</v>
      </c>
      <c r="K26">
        <v>7.12</v>
      </c>
      <c r="L26">
        <v>7</v>
      </c>
      <c r="M26">
        <v>10</v>
      </c>
      <c r="N26">
        <v>16.8</v>
      </c>
      <c r="O26">
        <v>1</v>
      </c>
      <c r="P26">
        <v>0</v>
      </c>
      <c r="Q26">
        <v>3.8000000000000012</v>
      </c>
      <c r="R26">
        <v>21.6</v>
      </c>
      <c r="S26">
        <v>-14.48</v>
      </c>
    </row>
    <row r="27" spans="1:19">
      <c r="A27" t="s">
        <v>87</v>
      </c>
      <c r="B27" t="s">
        <v>26</v>
      </c>
      <c r="C27">
        <v>5865</v>
      </c>
      <c r="D27">
        <v>58999</v>
      </c>
      <c r="E27">
        <v>2.12</v>
      </c>
      <c r="F27">
        <v>2</v>
      </c>
      <c r="G27">
        <v>4</v>
      </c>
      <c r="H27">
        <v>0.2</v>
      </c>
      <c r="I27">
        <v>0</v>
      </c>
      <c r="J27">
        <v>1</v>
      </c>
      <c r="K27">
        <v>2.3199999999999998</v>
      </c>
      <c r="L27">
        <v>2</v>
      </c>
      <c r="M27">
        <v>4</v>
      </c>
      <c r="N27">
        <v>1.9</v>
      </c>
      <c r="O27">
        <v>0.3</v>
      </c>
      <c r="P27">
        <v>0</v>
      </c>
      <c r="Q27">
        <v>0.89999999999999991</v>
      </c>
      <c r="R27">
        <v>3.1</v>
      </c>
      <c r="S27">
        <v>-0.78</v>
      </c>
    </row>
    <row r="28" spans="1:19">
      <c r="A28" t="s">
        <v>80</v>
      </c>
      <c r="B28" t="s">
        <v>27</v>
      </c>
      <c r="C28">
        <v>13926</v>
      </c>
      <c r="D28">
        <v>45787</v>
      </c>
      <c r="E28">
        <v>2.87</v>
      </c>
      <c r="F28">
        <v>3</v>
      </c>
      <c r="G28">
        <v>6</v>
      </c>
      <c r="H28">
        <v>1.21</v>
      </c>
      <c r="I28">
        <v>1</v>
      </c>
      <c r="J28">
        <v>2</v>
      </c>
      <c r="K28">
        <v>4.07</v>
      </c>
      <c r="L28">
        <v>4</v>
      </c>
      <c r="M28">
        <v>7</v>
      </c>
      <c r="N28">
        <v>14</v>
      </c>
      <c r="O28">
        <v>0.4</v>
      </c>
      <c r="P28">
        <v>0</v>
      </c>
      <c r="Q28">
        <v>1.8000000000000009</v>
      </c>
      <c r="R28">
        <v>16.2</v>
      </c>
      <c r="S28">
        <v>-12.13</v>
      </c>
    </row>
    <row r="29" spans="1:19">
      <c r="A29" t="s">
        <v>86</v>
      </c>
      <c r="B29" t="s">
        <v>23</v>
      </c>
      <c r="C29">
        <v>6483</v>
      </c>
      <c r="D29">
        <v>36016</v>
      </c>
      <c r="E29">
        <v>0.6</v>
      </c>
      <c r="F29">
        <v>0</v>
      </c>
      <c r="G29">
        <v>2</v>
      </c>
      <c r="H29">
        <v>0.22</v>
      </c>
      <c r="I29">
        <v>0</v>
      </c>
      <c r="J29">
        <v>1</v>
      </c>
      <c r="K29">
        <v>0.82</v>
      </c>
      <c r="L29">
        <v>1</v>
      </c>
      <c r="M29">
        <v>2</v>
      </c>
      <c r="N29">
        <v>2.4</v>
      </c>
      <c r="O29">
        <v>0.5</v>
      </c>
      <c r="P29">
        <v>0</v>
      </c>
      <c r="Q29">
        <v>0.19999999999999971</v>
      </c>
      <c r="R29">
        <v>3.1</v>
      </c>
      <c r="S29">
        <v>-2.2799999999999998</v>
      </c>
    </row>
    <row r="30" spans="1:19">
      <c r="A30" t="s">
        <v>87</v>
      </c>
      <c r="B30" t="s">
        <v>27</v>
      </c>
      <c r="C30">
        <v>3783</v>
      </c>
      <c r="D30">
        <v>35217</v>
      </c>
      <c r="E30">
        <v>2.1</v>
      </c>
      <c r="F30">
        <v>2</v>
      </c>
      <c r="G30">
        <v>4</v>
      </c>
      <c r="H30">
        <v>0.2</v>
      </c>
      <c r="I30">
        <v>0</v>
      </c>
      <c r="J30">
        <v>1</v>
      </c>
      <c r="K30">
        <v>2.2999999999999998</v>
      </c>
      <c r="L30">
        <v>2</v>
      </c>
      <c r="M30">
        <v>4</v>
      </c>
      <c r="N30">
        <v>1.8</v>
      </c>
      <c r="O30">
        <v>0</v>
      </c>
      <c r="P30">
        <v>0</v>
      </c>
      <c r="Q30">
        <v>0.8</v>
      </c>
      <c r="R30">
        <v>2.6</v>
      </c>
      <c r="S30">
        <v>-0.3</v>
      </c>
    </row>
    <row r="31" spans="1:19">
      <c r="A31" t="s">
        <v>83</v>
      </c>
      <c r="B31" t="s">
        <v>25</v>
      </c>
      <c r="C31">
        <v>10637</v>
      </c>
      <c r="D31">
        <v>31113</v>
      </c>
      <c r="E31">
        <v>5.42</v>
      </c>
      <c r="F31">
        <v>5</v>
      </c>
      <c r="G31">
        <v>11</v>
      </c>
      <c r="H31">
        <v>3.21</v>
      </c>
      <c r="I31">
        <v>3</v>
      </c>
      <c r="J31">
        <v>4</v>
      </c>
      <c r="K31">
        <v>8.6300000000000008</v>
      </c>
      <c r="L31">
        <v>8</v>
      </c>
      <c r="M31">
        <v>14</v>
      </c>
      <c r="N31">
        <v>12.5</v>
      </c>
      <c r="O31">
        <v>1</v>
      </c>
      <c r="P31">
        <v>0</v>
      </c>
      <c r="Q31">
        <v>2.6999999999999988</v>
      </c>
      <c r="R31">
        <v>16.2</v>
      </c>
      <c r="S31">
        <v>-7.57</v>
      </c>
    </row>
    <row r="32" spans="1:19">
      <c r="A32" t="s">
        <v>88</v>
      </c>
      <c r="B32" t="s">
        <v>25</v>
      </c>
      <c r="C32">
        <v>2660</v>
      </c>
      <c r="D32">
        <v>8964</v>
      </c>
      <c r="E32">
        <v>2.89</v>
      </c>
      <c r="F32">
        <v>3</v>
      </c>
      <c r="G32">
        <v>6</v>
      </c>
      <c r="H32">
        <v>2.2000000000000002</v>
      </c>
      <c r="I32">
        <v>2</v>
      </c>
      <c r="J32">
        <v>3</v>
      </c>
      <c r="K32">
        <v>5.0999999999999996</v>
      </c>
      <c r="L32">
        <v>5</v>
      </c>
      <c r="M32">
        <v>8</v>
      </c>
      <c r="N32">
        <v>2</v>
      </c>
      <c r="O32">
        <v>1</v>
      </c>
      <c r="P32">
        <v>0</v>
      </c>
      <c r="Q32">
        <v>1</v>
      </c>
      <c r="R32">
        <v>4</v>
      </c>
      <c r="S32">
        <v>1.1000000000000001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defaultRowHeight="14.4"/>
  <sheetData>
    <row r="1" spans="1:5">
      <c r="A1" s="1" t="s">
        <v>89</v>
      </c>
      <c r="B1" s="1" t="s">
        <v>64</v>
      </c>
      <c r="C1" s="1" t="s">
        <v>65</v>
      </c>
      <c r="D1" s="1" t="s">
        <v>68</v>
      </c>
      <c r="E1" s="1" t="s">
        <v>71</v>
      </c>
    </row>
    <row r="2" spans="1:5">
      <c r="A2">
        <v>1181296</v>
      </c>
      <c r="B2">
        <v>5887582</v>
      </c>
      <c r="C2">
        <v>1.1100000000000001</v>
      </c>
      <c r="D2">
        <v>1.37</v>
      </c>
      <c r="E2">
        <v>2.48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4.4"/>
  <sheetData>
    <row r="1" spans="1:4">
      <c r="A1" s="1" t="s">
        <v>90</v>
      </c>
      <c r="B1" s="1" t="s">
        <v>91</v>
      </c>
      <c r="C1" s="1" t="s">
        <v>92</v>
      </c>
      <c r="D1" s="1" t="s">
        <v>93</v>
      </c>
    </row>
    <row r="2" spans="1:4">
      <c r="A2">
        <v>3535</v>
      </c>
      <c r="B2">
        <v>3482</v>
      </c>
      <c r="C2">
        <v>53</v>
      </c>
      <c r="D2">
        <v>0.99990000000000001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service_month_location</vt:lpstr>
      <vt:lpstr>rccp_month</vt:lpstr>
      <vt:lpstr>rccp_month_location</vt:lpstr>
      <vt:lpstr>Sheet1</vt:lpstr>
      <vt:lpstr>rccp_month_location_category_en</vt:lpstr>
      <vt:lpstr>category_mapping_coverage</vt:lpstr>
      <vt:lpstr>lane_leadtime</vt:lpstr>
      <vt:lpstr>leadtime_summary</vt:lpstr>
      <vt:lpstr>conversion_coverage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2026-05-18T08:44:00Z</dcterms:created>
  <dcterms:modified xsi:type="dcterms:W3CDTF">2026-06-09T08:51:33Z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2026-05-18T08:45:24Z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781f060b-d01f-4707-9f6c-6053c7b572dc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