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9-unattended planning/ChainSight/Trainings/"/>
    </mc:Choice>
  </mc:AlternateContent>
  <xr:revisionPtr revIDLastSave="2362" documentId="121_{D165F92F-4D6A-4108-8DD7-4AFBBB889ECD}" xr6:coauthVersionLast="47" xr6:coauthVersionMax="47" xr10:uidLastSave="{FE8F39C2-7B2C-48FF-AE5D-AA0AA372CD68}"/>
  <bookViews>
    <workbookView xWindow="-108" yWindow="-108" windowWidth="23256" windowHeight="13896" tabRatio="989" firstSheet="18" xr2:uid="{00000000-000D-0000-FFFF-FFFF00000000}"/>
  </bookViews>
  <sheets>
    <sheet name="Global_seed" sheetId="28" r:id="rId1"/>
    <sheet name="Global_Network" sheetId="38" r:id="rId2"/>
    <sheet name="Global_SpaceCapacity" sheetId="2" r:id="rId3"/>
    <sheet name="Global_LeadTime" sheetId="4" r:id="rId4"/>
    <sheet name="Global_DemandPriority" sheetId="5" r:id="rId5"/>
    <sheet name="M1_InitialInventory" sheetId="36" r:id="rId6"/>
    <sheet name="M1_DemandForecast" sheetId="18" r:id="rId7"/>
    <sheet name="M1_ForecastError" sheetId="19" r:id="rId8"/>
    <sheet name="M1_OrderCalendar" sheetId="20" r:id="rId9"/>
    <sheet name="M1_AOConfig" sheetId="21" r:id="rId10"/>
    <sheet name="M1_DPSConfig" sheetId="22" r:id="rId11"/>
    <sheet name="M1_SupplyChoiceConfig" sheetId="23" r:id="rId12"/>
    <sheet name="M3_SafetyStock" sheetId="6" r:id="rId13"/>
    <sheet name="M4_MaterialLocationLineCfg" sheetId="13" r:id="rId14"/>
    <sheet name="M4_LineCapacity" sheetId="14" r:id="rId15"/>
    <sheet name="M4_ChangeoverDefinition" sheetId="16" r:id="rId16"/>
    <sheet name="M4_ChangeoverMatrix" sheetId="15" r:id="rId17"/>
    <sheet name="M4_ProductionReliability" sheetId="17" r:id="rId18"/>
    <sheet name="M5_PushPullModel" sheetId="7" r:id="rId19"/>
    <sheet name="M5_DeployConfig" sheetId="8" r:id="rId20"/>
    <sheet name="M6_TruckReleaseCon" sheetId="9" r:id="rId21"/>
    <sheet name="M6_MaterialMD" sheetId="10" r:id="rId22"/>
    <sheet name="M6_DeliveryDelayDistribution" sheetId="11" r:id="rId23"/>
    <sheet name="M6_MDQBypassRules" sheetId="12" r:id="rId24"/>
    <sheet name="M6_TruckTypeSpecs" sheetId="24" r:id="rId25"/>
    <sheet name="M6_TruckCapacityPlan" sheetId="25" r:id="rId26"/>
  </sheets>
  <definedNames>
    <definedName name="_xlnm._FilterDatabase" localSheetId="3" hidden="1">Global_LeadTime!$A$1:$J$39</definedName>
    <definedName name="_xlnm._FilterDatabase" localSheetId="1" hidden="1">Global_Network!$A$1:$H$7768</definedName>
    <definedName name="_xlnm._FilterDatabase" localSheetId="9" hidden="1">M1_AOConfig!$A$1:$E$2</definedName>
    <definedName name="_xlnm._FilterDatabase" localSheetId="6" hidden="1">M1_DemandForecast!$A$1:$E$35734</definedName>
    <definedName name="_xlnm._FilterDatabase" localSheetId="10" hidden="1">M1_DPSConfig!$A$1:$D$52</definedName>
    <definedName name="_xlnm._FilterDatabase" localSheetId="7" hidden="1">M1_ForecastError!$A$1:$E$7429</definedName>
    <definedName name="_xlnm._FilterDatabase" localSheetId="5" hidden="1">M1_InitialInventory!$A$1:$E$7428</definedName>
    <definedName name="_xlnm._FilterDatabase" localSheetId="12" hidden="1">M3_SafetyStock!$A$1:$E$188541</definedName>
    <definedName name="_xlnm._FilterDatabase" localSheetId="15" hidden="1">M4_ChangeoverDefinition!$A$1:$E$100</definedName>
    <definedName name="_xlnm._FilterDatabase" localSheetId="16" hidden="1">M4_ChangeoverMatrix!$A$1:$C$9723</definedName>
    <definedName name="_xlnm._FilterDatabase" localSheetId="14" hidden="1">M4_LineCapacity!$A$1:$D$345</definedName>
    <definedName name="_xlnm._FilterDatabase" localSheetId="13" hidden="1">M4_MaterialLocationLineCfg!$A$1:$P$2</definedName>
    <definedName name="_xlnm._FilterDatabase" localSheetId="19" hidden="1">M5_DeployConfig!$A$1:$K$2</definedName>
    <definedName name="_xlnm._FilterDatabase" localSheetId="18" hidden="1">M5_PushPullModel!$A$1:$F$2</definedName>
    <definedName name="_xlnm._FilterDatabase" localSheetId="21" hidden="1">M6_MaterialMD!$A$1:$G$2</definedName>
    <definedName name="_xlnm._FilterDatabase" localSheetId="20" hidden="1">M6_TruckReleaseCon!$A$1:$F$2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3" i="11"/>
</calcChain>
</file>

<file path=xl/sharedStrings.xml><?xml version="1.0" encoding="utf-8"?>
<sst xmlns="http://schemas.openxmlformats.org/spreadsheetml/2006/main" count="191" uniqueCount="104">
  <si>
    <t>capacity</t>
  </si>
  <si>
    <t>seed</t>
  </si>
  <si>
    <t>material</t>
  </si>
  <si>
    <t>location</t>
  </si>
  <si>
    <t>sourcing</t>
  </si>
  <si>
    <t>location_type</t>
  </si>
  <si>
    <t>eff_from</t>
  </si>
  <si>
    <t>eff_to</t>
  </si>
  <si>
    <t>sending</t>
  </si>
  <si>
    <t>receiving</t>
  </si>
  <si>
    <t>PDT</t>
  </si>
  <si>
    <t>OTD</t>
  </si>
  <si>
    <t>GR</t>
  </si>
  <si>
    <t>MCT</t>
  </si>
  <si>
    <t>demand_element</t>
  </si>
  <si>
    <t>priority</t>
  </si>
  <si>
    <t>quantity</t>
  </si>
  <si>
    <t>week</t>
  </si>
  <si>
    <t>date</t>
  </si>
  <si>
    <t>order_day_flag</t>
  </si>
  <si>
    <t>advance_days</t>
  </si>
  <si>
    <t>ao_percent</t>
  </si>
  <si>
    <t>order_type</t>
  </si>
  <si>
    <t>error_std_percent</t>
  </si>
  <si>
    <t>dps_percent</t>
  </si>
  <si>
    <t>dps_location</t>
  </si>
  <si>
    <t>adjust_quantity</t>
  </si>
  <si>
    <t>safety_stock_qty</t>
  </si>
  <si>
    <t>delegate_line</t>
  </si>
  <si>
    <t>prd_rate</t>
  </si>
  <si>
    <t>min_batch</t>
  </si>
  <si>
    <t>rv</t>
  </si>
  <si>
    <t>ptf</t>
  </si>
  <si>
    <t>lsk</t>
  </si>
  <si>
    <t>day</t>
  </si>
  <si>
    <t>line</t>
  </si>
  <si>
    <t>from_material</t>
  </si>
  <si>
    <t>to_material</t>
  </si>
  <si>
    <t>changeover_id</t>
  </si>
  <si>
    <t>time</t>
  </si>
  <si>
    <t>cost</t>
  </si>
  <si>
    <t>mu_loss</t>
  </si>
  <si>
    <t>pr</t>
  </si>
  <si>
    <t>model</t>
  </si>
  <si>
    <t>moq</t>
  </si>
  <si>
    <t>truck_type</t>
  </si>
  <si>
    <t>WFR</t>
  </si>
  <si>
    <t>VFR</t>
  </si>
  <si>
    <t>optimal_type</t>
  </si>
  <si>
    <t>truck_number</t>
  </si>
  <si>
    <t>capacity_qty_in_weight</t>
  </si>
  <si>
    <t>capacity_qty_in_volume</t>
  </si>
  <si>
    <t>demand_unit_to_weight</t>
  </si>
  <si>
    <t>demand_unit_to_volume</t>
  </si>
  <si>
    <t>13250027</t>
  </si>
  <si>
    <t>C816</t>
  </si>
  <si>
    <t>0386</t>
  </si>
  <si>
    <t>DC</t>
  </si>
  <si>
    <t>80727523</t>
  </si>
  <si>
    <t>82284849</t>
  </si>
  <si>
    <t>A668</t>
  </si>
  <si>
    <t>sending</t>
    <phoneticPr fontId="2" type="noConversion"/>
  </si>
  <si>
    <t>normal</t>
  </si>
  <si>
    <t>net demand for normal</t>
  </si>
  <si>
    <t>net demand for net demand for normal</t>
  </si>
  <si>
    <t>AO</t>
  </si>
  <si>
    <t>net demand for AO</t>
  </si>
  <si>
    <t>net demand for net demand for AO</t>
  </si>
  <si>
    <t>customer</t>
  </si>
  <si>
    <t>net demand for customer</t>
  </si>
  <si>
    <t>net demand for net demand for customer</t>
  </si>
  <si>
    <t>forecast</t>
  </si>
  <si>
    <t>net demand for forecast</t>
  </si>
  <si>
    <t>net demand for net demand for forecast</t>
  </si>
  <si>
    <t>safety</t>
  </si>
  <si>
    <t>net demand for safety</t>
  </si>
  <si>
    <t>net demand for net demand for safety</t>
  </si>
  <si>
    <t>push replenishment</t>
  </si>
  <si>
    <t>soft push replenishment</t>
  </si>
  <si>
    <t>2026-03-01</t>
  </si>
  <si>
    <t>lsk</t>
    <phoneticPr fontId="2" type="noConversion"/>
  </si>
  <si>
    <t>MOCK</t>
  </si>
  <si>
    <t>soft push</t>
    <phoneticPr fontId="2" type="noConversion"/>
  </si>
  <si>
    <t>LARGE</t>
  </si>
  <si>
    <t>weight</t>
  </si>
  <si>
    <t>volume</t>
  </si>
  <si>
    <t>delay_days</t>
  </si>
  <si>
    <t>probability</t>
  </si>
  <si>
    <t>ALL</t>
    <phoneticPr fontId="2" type="noConversion"/>
  </si>
  <si>
    <t>ALL</t>
  </si>
  <si>
    <t>condition_logic</t>
  </si>
  <si>
    <t>rule_id</t>
  </si>
  <si>
    <t>waiting_days &gt; 50</t>
  </si>
  <si>
    <t>WAITING_BYPASS</t>
  </si>
  <si>
    <t>LARGE</t>
    <phoneticPr fontId="2" type="noConversion"/>
  </si>
  <si>
    <t>D4</t>
  </si>
  <si>
    <t>D5</t>
  </si>
  <si>
    <t>D6</t>
  </si>
  <si>
    <t>D7</t>
  </si>
  <si>
    <t>注意是否包含PR loss</t>
  </si>
  <si>
    <t>不含change over</t>
  </si>
  <si>
    <t>tie with truck spec</t>
  </si>
  <si>
    <t>case/hour</t>
  </si>
  <si>
    <t>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</si>
</sst>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yyyy\-mm\-dd;@"/>
    <numFmt numFmtId="166" formatCode="0.000%"/>
    <numFmt numFmtId="167" formatCode="0_);[Red]\(0\)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5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9" fontId="0" fillId="0" borderId="0" xfId="0" applyNumberFormat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166" fontId="1" fillId="0" borderId="1" xfId="1" applyNumberFormat="1" applyFont="1" applyBorder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1" fillId="0" borderId="2" xfId="0" applyFont="1" applyBorder="1"/>
    <xf numFmtId="0" fontId="0" fillId="3" borderId="0" xfId="0" applyFill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5" fillId="0" borderId="0" xfId="0" applyFont="1"/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indent="1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6" fillId="7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/>
    </xf>
    <xf numFmtId="0" fontId="7" fillId="0" borderId="0" xfId="0" applyFont="1"/>
    <xf numFmtId="0" fontId="1" fillId="8" borderId="1" xfId="0" applyFont="1" applyFill="1" applyBorder="1" applyAlignment="1">
      <alignment horizontal="center" vertical="top"/>
    </xf>
    <xf numFmtId="0" fontId="5" fillId="8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A2"/>
  <sheetViews>
    <sheetView tabSelected="1" workbookViewId="0">
      <selection activeCell="D19" sqref="D19"/>
    </sheetView>
  </sheetViews>
  <sheetFormatPr defaultRowHeight="14.4"/>
  <sheetData>
    <row r="1" spans="1:1">
      <c r="A1" t="s">
        <v>1</v>
      </c>
    </row>
    <row r="2" spans="1:1">
      <c r="A2">
        <v>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B472-8AE7-42F6-B7F9-5D9590E642C1}">
  <sheetPr>
    <tabColor rgb="FF00B0F0"/>
  </sheetPr>
  <dimension ref="A1:H2"/>
  <sheetViews>
    <sheetView zoomScale="94" zoomScaleNormal="94" workbookViewId="0">
      <selection activeCell="C24" sqref="C24"/>
    </sheetView>
  </sheetViews>
  <sheetFormatPr defaultRowHeight="14.4"/>
  <cols>
    <col min="1" max="6" width="30" style="6" customWidth="1"/>
    <col min="7" max="8" width="8.88671875" style="28"/>
    <col min="10" max="10" width="13.44140625" customWidth="1"/>
  </cols>
  <sheetData>
    <row r="1" spans="1:6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>
      <c r="A2" s="34" t="s">
        <v>54</v>
      </c>
      <c r="B2" s="34" t="s">
        <v>55</v>
      </c>
      <c r="C2" s="33" t="s">
        <v>56</v>
      </c>
      <c r="D2" s="6" t="s">
        <v>57</v>
      </c>
      <c r="E2" s="26">
        <v>45931</v>
      </c>
      <c r="F2" s="26">
        <v>51501</v>
      </c>
    </row>
  </sheetData>
  <autoFilter ref="A1:H7768" xr:uid="{9D22B472-8AE7-42F6-B7F9-5D9590E642C1}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1"/>
  <sheetViews>
    <sheetView workbookViewId="0">
      <selection activeCell="C5" sqref="C5"/>
    </sheetView>
  </sheetViews>
  <sheetFormatPr defaultRowHeight="14.4"/>
  <cols>
    <col min="1" max="4" width="23.4414062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0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F2"/>
  <sheetViews>
    <sheetView zoomScale="90" zoomScaleNormal="90" workbookViewId="0">
      <selection activeCell="F2" sqref="F2"/>
    </sheetView>
  </sheetViews>
  <sheetFormatPr defaultColWidth="8.88671875" defaultRowHeight="14.4"/>
  <cols>
    <col min="1" max="2" width="23" style="6" customWidth="1"/>
    <col min="3" max="6" width="23" customWidth="1"/>
    <col min="10" max="10" width="11.88671875" customWidth="1"/>
  </cols>
  <sheetData>
    <row r="1" spans="1:6">
      <c r="A1" s="3" t="s">
        <v>61</v>
      </c>
      <c r="B1" s="3" t="s">
        <v>9</v>
      </c>
      <c r="C1" s="1" t="s">
        <v>10</v>
      </c>
      <c r="D1" s="1" t="s">
        <v>12</v>
      </c>
      <c r="E1" s="1" t="s">
        <v>13</v>
      </c>
      <c r="F1" s="1" t="s">
        <v>11</v>
      </c>
    </row>
    <row r="2" spans="1:6">
      <c r="A2" s="33" t="s">
        <v>56</v>
      </c>
      <c r="B2" s="34" t="s">
        <v>55</v>
      </c>
      <c r="C2" s="14">
        <v>2</v>
      </c>
      <c r="D2" s="14">
        <v>1</v>
      </c>
      <c r="E2" s="14">
        <v>0</v>
      </c>
      <c r="F2" s="14">
        <f t="shared" ref="F2" si="0">C2-1</f>
        <v>1</v>
      </c>
    </row>
  </sheetData>
  <autoFilter ref="A1:J39" xr:uid="{00000000-0001-0000-03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workbookViewId="0">
      <selection activeCell="D3" sqref="D3"/>
    </sheetView>
  </sheetViews>
  <sheetFormatPr defaultRowHeight="14.4"/>
  <cols>
    <col min="1" max="1" width="37.44140625" bestFit="1" customWidth="1"/>
    <col min="2" max="2" width="10" customWidth="1"/>
  </cols>
  <sheetData>
    <row r="1" spans="1:2">
      <c r="A1" s="1" t="s">
        <v>14</v>
      </c>
      <c r="B1" s="1" t="s">
        <v>15</v>
      </c>
    </row>
    <row r="2" spans="1:2">
      <c r="A2" t="s">
        <v>62</v>
      </c>
      <c r="B2">
        <v>1</v>
      </c>
    </row>
    <row r="3" spans="1:2">
      <c r="A3" t="s">
        <v>63</v>
      </c>
      <c r="B3">
        <v>2</v>
      </c>
    </row>
    <row r="4" spans="1:2">
      <c r="A4" t="s">
        <v>64</v>
      </c>
      <c r="B4">
        <v>3</v>
      </c>
    </row>
    <row r="5" spans="1:2">
      <c r="A5" t="s">
        <v>65</v>
      </c>
      <c r="B5">
        <v>4</v>
      </c>
    </row>
    <row r="6" spans="1:2">
      <c r="A6" t="s">
        <v>66</v>
      </c>
      <c r="B6">
        <v>5</v>
      </c>
    </row>
    <row r="7" spans="1:2">
      <c r="A7" t="s">
        <v>67</v>
      </c>
      <c r="B7">
        <v>6</v>
      </c>
    </row>
    <row r="8" spans="1:2">
      <c r="A8" t="s">
        <v>68</v>
      </c>
      <c r="B8">
        <v>7</v>
      </c>
    </row>
    <row r="9" spans="1:2">
      <c r="A9" t="s">
        <v>69</v>
      </c>
      <c r="B9">
        <v>8</v>
      </c>
    </row>
    <row r="10" spans="1:2">
      <c r="A10" t="s">
        <v>70</v>
      </c>
      <c r="B10">
        <v>9</v>
      </c>
    </row>
    <row r="11" spans="1:2">
      <c r="A11" t="s">
        <v>71</v>
      </c>
      <c r="B11">
        <v>10</v>
      </c>
    </row>
    <row r="12" spans="1:2">
      <c r="A12" t="s">
        <v>72</v>
      </c>
      <c r="B12">
        <v>11</v>
      </c>
    </row>
    <row r="13" spans="1:2">
      <c r="A13" t="s">
        <v>73</v>
      </c>
      <c r="B13">
        <v>12</v>
      </c>
    </row>
    <row r="14" spans="1:2">
      <c r="A14" t="s">
        <v>74</v>
      </c>
      <c r="B14">
        <v>13</v>
      </c>
    </row>
    <row r="15" spans="1:2">
      <c r="A15" t="s">
        <v>75</v>
      </c>
      <c r="B15">
        <v>14</v>
      </c>
    </row>
    <row r="16" spans="1:2">
      <c r="A16" t="s">
        <v>76</v>
      </c>
      <c r="B16">
        <v>15</v>
      </c>
    </row>
    <row r="17" spans="1:2">
      <c r="A17" t="s">
        <v>77</v>
      </c>
      <c r="B17">
        <v>99</v>
      </c>
    </row>
    <row r="18" spans="1:2">
      <c r="A18" t="s">
        <v>78</v>
      </c>
      <c r="B18">
        <v>99</v>
      </c>
    </row>
  </sheetData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589A-1306-4768-B7AB-F0EAA2A96CB0}">
  <sheetPr>
    <tabColor rgb="FF00B0F0"/>
  </sheetPr>
  <dimension ref="A1:C2"/>
  <sheetViews>
    <sheetView workbookViewId="0">
      <selection activeCell="E25" sqref="E25"/>
    </sheetView>
  </sheetViews>
  <sheetFormatPr defaultRowHeight="14.4"/>
  <cols>
    <col min="1" max="2" width="28.109375" style="6" customWidth="1"/>
    <col min="3" max="3" width="28.109375" customWidth="1"/>
  </cols>
  <sheetData>
    <row r="1" spans="1:3">
      <c r="A1" s="35" t="s">
        <v>2</v>
      </c>
      <c r="B1" s="36" t="s">
        <v>3</v>
      </c>
      <c r="C1" s="31" t="s">
        <v>16</v>
      </c>
    </row>
    <row r="2" spans="1:3" ht="15">
      <c r="A2" s="43">
        <v>80686216</v>
      </c>
      <c r="B2" s="43" t="s">
        <v>60</v>
      </c>
      <c r="C2" s="43">
        <v>11</v>
      </c>
    </row>
  </sheetData>
  <autoFilter ref="A1:E7428" xr:uid="{655C589A-1306-4768-B7AB-F0EAA2A96CB0}"/>
  <pageMargins left="0.75" right="0.75" top="1" bottom="1" header="0.5" footer="0.5"/>
  <headerFooter>
    <oddHeader>&amp;R&amp;"Calibri"&amp;10&amp;K000000 Business Use&amp;1#_x000D_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A1:D2"/>
  <sheetViews>
    <sheetView zoomScaleNormal="100" workbookViewId="0">
      <selection activeCell="C19" sqref="C19"/>
    </sheetView>
  </sheetViews>
  <sheetFormatPr defaultRowHeight="14.4"/>
  <cols>
    <col min="1" max="4" width="17.77734375" style="6" customWidth="1"/>
  </cols>
  <sheetData>
    <row r="1" spans="1:4">
      <c r="A1" s="3" t="s">
        <v>17</v>
      </c>
      <c r="B1" s="3" t="s">
        <v>2</v>
      </c>
      <c r="C1" s="3" t="s">
        <v>3</v>
      </c>
      <c r="D1" s="3" t="s">
        <v>16</v>
      </c>
    </row>
    <row r="2" spans="1:4" ht="15">
      <c r="A2" s="39">
        <v>1</v>
      </c>
      <c r="B2" s="39">
        <v>13250625</v>
      </c>
      <c r="C2" s="39" t="s">
        <v>55</v>
      </c>
      <c r="D2" s="39">
        <v>41165.800000000003</v>
      </c>
    </row>
  </sheetData>
  <autoFilter ref="A1:E35734" xr:uid="{00000000-0001-0000-1100-000000000000}"/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A1:D3"/>
  <sheetViews>
    <sheetView zoomScaleNormal="100" workbookViewId="0">
      <selection activeCell="C21" sqref="C21"/>
    </sheetView>
  </sheetViews>
  <sheetFormatPr defaultRowHeight="14.4"/>
  <cols>
    <col min="1" max="4" width="21.44140625" style="6" customWidth="1"/>
    <col min="5" max="5" width="11.77734375" bestFit="1" customWidth="1"/>
    <col min="10" max="10" width="19.88671875" customWidth="1"/>
  </cols>
  <sheetData>
    <row r="1" spans="1:4">
      <c r="A1" s="3" t="s">
        <v>2</v>
      </c>
      <c r="B1" s="3" t="s">
        <v>3</v>
      </c>
      <c r="C1" s="12" t="s">
        <v>22</v>
      </c>
      <c r="D1" s="10" t="s">
        <v>23</v>
      </c>
    </row>
    <row r="2" spans="1:4">
      <c r="A2" s="6" t="s">
        <v>54</v>
      </c>
      <c r="B2" s="6" t="s">
        <v>55</v>
      </c>
      <c r="C2" s="6" t="s">
        <v>62</v>
      </c>
      <c r="D2" s="13">
        <v>0.75</v>
      </c>
    </row>
    <row r="3" spans="1:4">
      <c r="A3" s="6" t="s">
        <v>54</v>
      </c>
      <c r="B3" s="6" t="s">
        <v>55</v>
      </c>
      <c r="C3" s="6" t="s">
        <v>65</v>
      </c>
      <c r="D3" s="13">
        <v>0.75</v>
      </c>
    </row>
  </sheetData>
  <autoFilter ref="A1:E7429" xr:uid="{00000000-0001-0000-12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B2"/>
  <sheetViews>
    <sheetView workbookViewId="0">
      <selection activeCell="B6" sqref="B6"/>
    </sheetView>
  </sheetViews>
  <sheetFormatPr defaultRowHeight="14.4"/>
  <cols>
    <col min="1" max="1" width="17.77734375" style="17" customWidth="1"/>
    <col min="2" max="2" width="16.44140625" customWidth="1"/>
  </cols>
  <sheetData>
    <row r="1" spans="1:2">
      <c r="A1" s="16" t="s">
        <v>18</v>
      </c>
      <c r="B1" s="1" t="s">
        <v>19</v>
      </c>
    </row>
    <row r="2" spans="1:2">
      <c r="A2" s="17">
        <v>46082</v>
      </c>
      <c r="B2">
        <v>1</v>
      </c>
    </row>
  </sheetData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A1:J19"/>
  <sheetViews>
    <sheetView workbookViewId="0">
      <selection activeCell="E9" sqref="E9"/>
    </sheetView>
  </sheetViews>
  <sheetFormatPr defaultRowHeight="14.4"/>
  <cols>
    <col min="1" max="4" width="19.44140625" style="6" customWidth="1"/>
    <col min="5" max="5" width="20.5546875" customWidth="1"/>
    <col min="9" max="9" width="11.77734375" bestFit="1" customWidth="1"/>
  </cols>
  <sheetData>
    <row r="1" spans="1:10">
      <c r="A1" s="3" t="s">
        <v>2</v>
      </c>
      <c r="B1" s="3" t="s">
        <v>3</v>
      </c>
      <c r="C1" s="3" t="s">
        <v>20</v>
      </c>
      <c r="D1" s="3" t="s">
        <v>21</v>
      </c>
    </row>
    <row r="2" spans="1:10">
      <c r="A2" s="6" t="s">
        <v>58</v>
      </c>
      <c r="B2" s="6" t="s">
        <v>60</v>
      </c>
      <c r="C2" s="6">
        <v>7</v>
      </c>
      <c r="D2" s="6">
        <v>0.73809523809523814</v>
      </c>
    </row>
    <row r="9" spans="1:10">
      <c r="G9" s="6" t="s">
        <v>95</v>
      </c>
      <c r="H9" s="6" t="s">
        <v>96</v>
      </c>
      <c r="I9" s="6" t="s">
        <v>97</v>
      </c>
      <c r="J9" s="6" t="s">
        <v>98</v>
      </c>
    </row>
    <row r="10" spans="1:10">
      <c r="J10">
        <v>100</v>
      </c>
    </row>
    <row r="15" spans="1:10">
      <c r="C15" s="11"/>
      <c r="D15" s="11"/>
    </row>
    <row r="17" spans="4:9">
      <c r="I17">
        <v>100</v>
      </c>
    </row>
    <row r="19" spans="4:9">
      <c r="D19" s="37"/>
    </row>
  </sheetData>
  <autoFilter ref="A1:E2" xr:uid="{00000000-0001-0000-14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D1"/>
  <sheetViews>
    <sheetView workbookViewId="0">
      <selection activeCell="D20" sqref="D20"/>
    </sheetView>
  </sheetViews>
  <sheetFormatPr defaultRowHeight="14.4"/>
  <cols>
    <col min="1" max="4" width="14.5546875" style="6" customWidth="1"/>
    <col min="7" max="7" width="23.5546875" bestFit="1" customWidth="1"/>
  </cols>
  <sheetData>
    <row r="1" spans="1:4">
      <c r="A1" s="3" t="s">
        <v>2</v>
      </c>
      <c r="B1" s="3" t="s">
        <v>3</v>
      </c>
      <c r="C1" s="3" t="s">
        <v>25</v>
      </c>
      <c r="D1" s="3" t="s">
        <v>24</v>
      </c>
    </row>
  </sheetData>
  <autoFilter ref="A1:D52" xr:uid="{00000000-0001-0000-15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</sheetPr>
  <dimension ref="A1:D1"/>
  <sheetViews>
    <sheetView workbookViewId="0">
      <selection activeCell="P25" sqref="P25"/>
    </sheetView>
  </sheetViews>
  <sheetFormatPr defaultRowHeight="14.4"/>
  <cols>
    <col min="4" max="4" width="13.6640625" customWidth="1"/>
  </cols>
  <sheetData>
    <row r="1" spans="1:4">
      <c r="A1" s="1" t="s">
        <v>2</v>
      </c>
      <c r="B1" s="1" t="s">
        <v>3</v>
      </c>
      <c r="C1" s="1" t="s">
        <v>17</v>
      </c>
      <c r="D1" s="1" t="s">
        <v>26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D2"/>
  <sheetViews>
    <sheetView zoomScale="127" zoomScaleNormal="127" workbookViewId="0">
      <selection activeCell="C7" sqref="C7"/>
    </sheetView>
  </sheetViews>
  <sheetFormatPr defaultRowHeight="14.4"/>
  <cols>
    <col min="1" max="1" width="13.109375" style="4" customWidth="1"/>
    <col min="2" max="2" width="14.88671875" style="4" customWidth="1"/>
    <col min="3" max="3" width="12.21875" style="17" customWidth="1"/>
    <col min="4" max="4" width="15.6640625" style="30" customWidth="1"/>
    <col min="5" max="5" width="22.33203125" customWidth="1"/>
  </cols>
  <sheetData>
    <row r="1" spans="1:4">
      <c r="A1" s="5" t="s">
        <v>2</v>
      </c>
      <c r="B1" s="5" t="s">
        <v>3</v>
      </c>
      <c r="C1" s="16" t="s">
        <v>18</v>
      </c>
      <c r="D1" s="29" t="s">
        <v>27</v>
      </c>
    </row>
    <row r="2" spans="1:4">
      <c r="A2" s="4" t="s">
        <v>59</v>
      </c>
      <c r="B2" s="4" t="s">
        <v>55</v>
      </c>
      <c r="C2" s="17" t="s">
        <v>79</v>
      </c>
      <c r="D2" s="14">
        <v>818326.40551199997</v>
      </c>
    </row>
  </sheetData>
  <autoFilter ref="A1:E188541" xr:uid="{00000000-0001-0000-0500-000000000000}"/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L4"/>
  <sheetViews>
    <sheetView topLeftCell="B1" zoomScale="110" zoomScaleNormal="110" workbookViewId="0">
      <selection activeCell="C6" sqref="C6"/>
    </sheetView>
  </sheetViews>
  <sheetFormatPr defaultRowHeight="15" customHeight="1"/>
  <cols>
    <col min="1" max="2" width="12.21875" style="6" bestFit="1" customWidth="1"/>
    <col min="3" max="3" width="16.6640625" style="6" bestFit="1" customWidth="1"/>
    <col min="4" max="4" width="19.109375" style="6" bestFit="1" customWidth="1"/>
    <col min="5" max="5" width="14.44140625" style="6" bestFit="1" customWidth="1"/>
    <col min="6" max="6" width="7.109375" style="6" bestFit="1" customWidth="1"/>
    <col min="7" max="7" width="7.88671875" style="6" bestFit="1" customWidth="1"/>
    <col min="8" max="8" width="7.6640625" style="6" bestFit="1" customWidth="1"/>
    <col min="9" max="9" width="8.5546875" style="6" bestFit="1" customWidth="1"/>
    <col min="10" max="10" width="9.21875" style="6" bestFit="1" customWidth="1"/>
    <col min="12" max="12" width="14.44140625" style="14" customWidth="1"/>
  </cols>
  <sheetData>
    <row r="1" spans="1:10" ht="14.4">
      <c r="A1" s="3" t="s">
        <v>2</v>
      </c>
      <c r="B1" s="3" t="s">
        <v>3</v>
      </c>
      <c r="C1" s="10" t="s">
        <v>28</v>
      </c>
      <c r="D1" s="47" t="s">
        <v>29</v>
      </c>
      <c r="E1" s="10" t="s">
        <v>30</v>
      </c>
      <c r="F1" s="3" t="s">
        <v>31</v>
      </c>
      <c r="G1" s="9" t="s">
        <v>32</v>
      </c>
      <c r="H1" s="9" t="s">
        <v>80</v>
      </c>
      <c r="I1" s="3" t="s">
        <v>34</v>
      </c>
      <c r="J1" s="3" t="s">
        <v>13</v>
      </c>
    </row>
    <row r="2" spans="1:10">
      <c r="A2" s="40" t="s">
        <v>54</v>
      </c>
      <c r="B2" s="40" t="s">
        <v>56</v>
      </c>
      <c r="C2" s="6" t="s">
        <v>81</v>
      </c>
      <c r="D2" s="40">
        <v>511</v>
      </c>
      <c r="E2" s="6">
        <v>1022</v>
      </c>
      <c r="F2" s="6">
        <v>1</v>
      </c>
      <c r="G2" s="6">
        <v>1</v>
      </c>
      <c r="H2" s="40">
        <v>15</v>
      </c>
      <c r="I2" s="40">
        <v>2</v>
      </c>
      <c r="J2" s="40">
        <v>0</v>
      </c>
    </row>
    <row r="3" spans="1:10" ht="15" customHeight="1">
      <c r="D3" s="6" t="s">
        <v>99</v>
      </c>
    </row>
    <row r="4" spans="1:10" ht="15" customHeight="1">
      <c r="D4" s="6" t="s">
        <v>102</v>
      </c>
      <c r="E4" s="6" t="s">
        <v>103</v>
      </c>
    </row>
  </sheetData>
  <autoFilter ref="A1:P2" xr:uid="{00000000-0001-0000-0C00-000000000000}"/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70C0"/>
  </sheetPr>
  <dimension ref="A1:D2"/>
  <sheetViews>
    <sheetView workbookViewId="0">
      <selection activeCell="D1" sqref="D1:D1048576"/>
    </sheetView>
  </sheetViews>
  <sheetFormatPr defaultRowHeight="14.4"/>
  <cols>
    <col min="1" max="2" width="18.44140625" style="6" customWidth="1"/>
    <col min="3" max="3" width="18.44140625" style="26" customWidth="1"/>
    <col min="4" max="4" width="18.44140625" style="11" customWidth="1"/>
  </cols>
  <sheetData>
    <row r="1" spans="1:4">
      <c r="A1" s="3" t="s">
        <v>3</v>
      </c>
      <c r="B1" s="3" t="s">
        <v>35</v>
      </c>
      <c r="C1" s="27" t="s">
        <v>18</v>
      </c>
      <c r="D1" s="10" t="s">
        <v>0</v>
      </c>
    </row>
    <row r="2" spans="1:4">
      <c r="A2" s="37" t="s">
        <v>56</v>
      </c>
      <c r="B2" s="6" t="s">
        <v>81</v>
      </c>
      <c r="C2" s="26">
        <v>46076</v>
      </c>
      <c r="D2" s="11">
        <v>24</v>
      </c>
    </row>
  </sheetData>
  <autoFilter ref="A1:D345" xr:uid="{00000000-0001-0000-0D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</sheetPr>
  <dimension ref="A1:E2"/>
  <sheetViews>
    <sheetView zoomScale="85" zoomScaleNormal="85" workbookViewId="0">
      <selection activeCell="E26" sqref="E26"/>
    </sheetView>
  </sheetViews>
  <sheetFormatPr defaultRowHeight="14.4"/>
  <cols>
    <col min="1" max="1" width="53.88671875" style="2" customWidth="1"/>
    <col min="2" max="2" width="20.33203125" style="6" customWidth="1"/>
    <col min="3" max="3" width="10" style="23" customWidth="1"/>
    <col min="4" max="4" width="9.77734375" style="25" customWidth="1"/>
    <col min="5" max="5" width="10.44140625" style="21" customWidth="1"/>
  </cols>
  <sheetData>
    <row r="1" spans="1:5">
      <c r="A1" s="19" t="s">
        <v>38</v>
      </c>
      <c r="B1" s="3" t="s">
        <v>35</v>
      </c>
      <c r="C1" s="22" t="s">
        <v>39</v>
      </c>
      <c r="D1" s="24" t="s">
        <v>40</v>
      </c>
      <c r="E1" s="20" t="s">
        <v>41</v>
      </c>
    </row>
    <row r="2" spans="1:5">
      <c r="A2" s="2">
        <v>1</v>
      </c>
      <c r="B2" s="6" t="s">
        <v>81</v>
      </c>
      <c r="C2" s="23">
        <v>0</v>
      </c>
      <c r="D2" s="25">
        <v>0</v>
      </c>
      <c r="E2" s="21">
        <v>0</v>
      </c>
    </row>
  </sheetData>
  <autoFilter ref="A1:E100" xr:uid="{00000000-0001-0000-0F00-000000000000}">
    <sortState xmlns:xlrd2="http://schemas.microsoft.com/office/spreadsheetml/2017/richdata2" ref="A2:E100">
      <sortCondition ref="A1:A100"/>
    </sortState>
  </autoFilter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</sheetPr>
  <dimension ref="A1:C2"/>
  <sheetViews>
    <sheetView zoomScale="85" zoomScaleNormal="85" workbookViewId="0">
      <selection activeCell="C24" sqref="C24"/>
    </sheetView>
  </sheetViews>
  <sheetFormatPr defaultRowHeight="14.4"/>
  <cols>
    <col min="1" max="2" width="28.6640625" customWidth="1"/>
    <col min="3" max="3" width="49" customWidth="1"/>
  </cols>
  <sheetData>
    <row r="1" spans="1:3">
      <c r="A1" s="3" t="s">
        <v>36</v>
      </c>
      <c r="B1" s="3" t="s">
        <v>37</v>
      </c>
      <c r="C1" s="3" t="s">
        <v>38</v>
      </c>
    </row>
    <row r="2" spans="1:3">
      <c r="A2" s="6" t="s">
        <v>54</v>
      </c>
      <c r="B2" s="6" t="s">
        <v>54</v>
      </c>
      <c r="C2" s="2">
        <v>1</v>
      </c>
    </row>
  </sheetData>
  <autoFilter ref="A1:C9723" xr:uid="{00000000-0001-0000-0E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/>
  </sheetPr>
  <dimension ref="A1:C3"/>
  <sheetViews>
    <sheetView workbookViewId="0">
      <selection activeCell="Q20" sqref="Q20"/>
    </sheetView>
  </sheetViews>
  <sheetFormatPr defaultRowHeight="14.4"/>
  <cols>
    <col min="1" max="3" width="18.6640625" customWidth="1"/>
  </cols>
  <sheetData>
    <row r="1" spans="1:3">
      <c r="A1" s="1" t="s">
        <v>3</v>
      </c>
      <c r="B1" s="1" t="s">
        <v>35</v>
      </c>
      <c r="C1" s="48" t="s">
        <v>42</v>
      </c>
    </row>
    <row r="2" spans="1:3">
      <c r="A2" s="38" t="s">
        <v>56</v>
      </c>
      <c r="B2" t="s">
        <v>81</v>
      </c>
      <c r="C2" s="8">
        <v>0.9</v>
      </c>
    </row>
    <row r="3" spans="1:3">
      <c r="C3" s="49" t="s">
        <v>100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C2"/>
  <sheetViews>
    <sheetView workbookViewId="0">
      <selection activeCell="D5" sqref="D5"/>
    </sheetView>
  </sheetViews>
  <sheetFormatPr defaultRowHeight="14.4"/>
  <cols>
    <col min="1" max="1" width="14.33203125" customWidth="1"/>
    <col min="2" max="2" width="20.33203125" customWidth="1"/>
    <col min="3" max="3" width="14.33203125" customWidth="1"/>
  </cols>
  <sheetData>
    <row r="1" spans="1:3">
      <c r="A1" s="1" t="s">
        <v>2</v>
      </c>
      <c r="B1" s="1" t="s">
        <v>8</v>
      </c>
      <c r="C1" s="1" t="s">
        <v>43</v>
      </c>
    </row>
    <row r="2" spans="1:3">
      <c r="A2" s="6" t="s">
        <v>54</v>
      </c>
      <c r="B2" s="6" t="s">
        <v>56</v>
      </c>
      <c r="C2" t="s">
        <v>82</v>
      </c>
    </row>
  </sheetData>
  <autoFilter ref="A1:F2" xr:uid="{00000000-0001-0000-06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G2"/>
  <sheetViews>
    <sheetView view="pageBreakPreview" zoomScaleNormal="89" zoomScaleSheetLayoutView="100" workbookViewId="0">
      <selection activeCell="D1" sqref="D1"/>
    </sheetView>
  </sheetViews>
  <sheetFormatPr defaultRowHeight="14.4"/>
  <cols>
    <col min="1" max="3" width="16.33203125" style="6" customWidth="1"/>
    <col min="4" max="7" width="16.33203125" style="32" customWidth="1"/>
  </cols>
  <sheetData>
    <row r="1" spans="1:7">
      <c r="A1" s="3" t="s">
        <v>2</v>
      </c>
      <c r="B1" s="3" t="s">
        <v>8</v>
      </c>
      <c r="C1" s="3" t="s">
        <v>9</v>
      </c>
      <c r="D1" s="18" t="s">
        <v>44</v>
      </c>
      <c r="E1" s="18" t="s">
        <v>31</v>
      </c>
      <c r="F1" s="50" t="s">
        <v>33</v>
      </c>
      <c r="G1" s="50" t="s">
        <v>34</v>
      </c>
    </row>
    <row r="2" spans="1:7" ht="15">
      <c r="A2" s="40">
        <v>13250027</v>
      </c>
      <c r="B2" s="6" t="s">
        <v>56</v>
      </c>
      <c r="C2" s="40" t="s">
        <v>55</v>
      </c>
      <c r="D2" s="40">
        <v>1</v>
      </c>
      <c r="E2" s="40">
        <v>1</v>
      </c>
      <c r="F2" s="51">
        <v>1</v>
      </c>
      <c r="G2" s="51">
        <v>2</v>
      </c>
    </row>
  </sheetData>
  <autoFilter ref="A1:K2" xr:uid="{00000000-0001-0000-0700-000000000000}"/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2"/>
  <sheetViews>
    <sheetView zoomScale="85" zoomScaleNormal="85" workbookViewId="0">
      <selection activeCell="F6" sqref="F6"/>
    </sheetView>
  </sheetViews>
  <sheetFormatPr defaultRowHeight="14.4"/>
  <cols>
    <col min="1" max="1" width="16.33203125" style="6" customWidth="1"/>
    <col min="2" max="3" width="15.21875" style="6" customWidth="1"/>
    <col min="4" max="4" width="21.6640625" style="7" hidden="1" customWidth="1"/>
    <col min="5" max="6" width="20" style="14" customWidth="1"/>
  </cols>
  <sheetData>
    <row r="1" spans="1:6">
      <c r="A1" s="3" t="s">
        <v>8</v>
      </c>
      <c r="B1" s="3" t="s">
        <v>9</v>
      </c>
      <c r="C1" s="3" t="s">
        <v>45</v>
      </c>
      <c r="D1" s="15" t="s">
        <v>48</v>
      </c>
      <c r="E1" s="18" t="s">
        <v>46</v>
      </c>
      <c r="F1" s="18" t="s">
        <v>47</v>
      </c>
    </row>
    <row r="2" spans="1:6" ht="14.7" customHeight="1">
      <c r="A2" s="6" t="s">
        <v>56</v>
      </c>
      <c r="B2" s="6" t="s">
        <v>55</v>
      </c>
      <c r="C2" s="6" t="s">
        <v>83</v>
      </c>
      <c r="E2" s="44">
        <v>0.9</v>
      </c>
      <c r="F2" s="44">
        <v>0.99</v>
      </c>
    </row>
  </sheetData>
  <autoFilter ref="A1:F2" xr:uid="{00000000-0001-0000-08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F3"/>
  <sheetViews>
    <sheetView workbookViewId="0">
      <selection activeCell="E1" sqref="E1:E1048576"/>
    </sheetView>
  </sheetViews>
  <sheetFormatPr defaultRowHeight="14.4"/>
  <cols>
    <col min="1" max="1" width="16.6640625" style="6" customWidth="1"/>
    <col min="2" max="4" width="14.33203125" style="42" hidden="1" customWidth="1"/>
    <col min="5" max="5" width="25.44140625" style="6" customWidth="1"/>
    <col min="6" max="6" width="24.33203125" style="6" customWidth="1"/>
  </cols>
  <sheetData>
    <row r="1" spans="1:6">
      <c r="A1" s="3" t="s">
        <v>2</v>
      </c>
      <c r="B1" s="41" t="s">
        <v>84</v>
      </c>
      <c r="C1" s="41" t="s">
        <v>85</v>
      </c>
      <c r="D1" s="41" t="s">
        <v>15</v>
      </c>
      <c r="E1" s="10" t="s">
        <v>52</v>
      </c>
      <c r="F1" s="10" t="s">
        <v>53</v>
      </c>
    </row>
    <row r="2" spans="1:6">
      <c r="A2" s="45">
        <v>13250027</v>
      </c>
      <c r="E2" s="46">
        <v>5.0000000000000001E-3</v>
      </c>
      <c r="F2" s="46">
        <v>9.0719999999999992</v>
      </c>
    </row>
    <row r="3" spans="1:6">
      <c r="E3" s="6" t="s">
        <v>101</v>
      </c>
      <c r="F3" s="6" t="s">
        <v>101</v>
      </c>
    </row>
  </sheetData>
  <autoFilter ref="A1:G2" xr:uid="{00000000-0001-0000-0900-000000000000}"/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E3"/>
  <sheetViews>
    <sheetView workbookViewId="0">
      <selection activeCell="G8" sqref="G8"/>
    </sheetView>
  </sheetViews>
  <sheetFormatPr defaultRowHeight="14.4"/>
  <cols>
    <col min="1" max="1" width="16.33203125" customWidth="1"/>
    <col min="2" max="3" width="9.6640625" customWidth="1"/>
    <col min="4" max="4" width="10.44140625" bestFit="1" customWidth="1"/>
    <col min="5" max="5" width="10.33203125" bestFit="1" customWidth="1"/>
  </cols>
  <sheetData>
    <row r="1" spans="1:5">
      <c r="A1" s="1" t="s">
        <v>18</v>
      </c>
      <c r="B1" s="1" t="s">
        <v>8</v>
      </c>
      <c r="C1" s="1" t="s">
        <v>9</v>
      </c>
      <c r="D1" s="1" t="s">
        <v>86</v>
      </c>
      <c r="E1" s="1" t="s">
        <v>87</v>
      </c>
    </row>
    <row r="2" spans="1:5">
      <c r="A2" t="s">
        <v>88</v>
      </c>
      <c r="B2" t="s">
        <v>89</v>
      </c>
      <c r="C2" t="s">
        <v>89</v>
      </c>
      <c r="D2">
        <v>0</v>
      </c>
      <c r="E2">
        <v>0.88</v>
      </c>
    </row>
    <row r="3" spans="1:5">
      <c r="A3" t="s">
        <v>88</v>
      </c>
      <c r="B3" t="s">
        <v>89</v>
      </c>
      <c r="C3" t="s">
        <v>89</v>
      </c>
      <c r="D3">
        <v>1</v>
      </c>
      <c r="E3">
        <f>1-E2</f>
        <v>0.12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/>
  </sheetPr>
  <dimension ref="A1:F2"/>
  <sheetViews>
    <sheetView topLeftCell="C1" zoomScaleNormal="100" workbookViewId="0">
      <selection activeCell="E7" sqref="E7"/>
    </sheetView>
  </sheetViews>
  <sheetFormatPr defaultRowHeight="14.4"/>
  <cols>
    <col min="1" max="6" width="22.44140625" customWidth="1"/>
  </cols>
  <sheetData>
    <row r="1" spans="1:6">
      <c r="A1" s="1" t="s">
        <v>8</v>
      </c>
      <c r="B1" s="1" t="s">
        <v>9</v>
      </c>
      <c r="C1" s="1" t="s">
        <v>45</v>
      </c>
      <c r="D1" s="1" t="s">
        <v>14</v>
      </c>
      <c r="E1" s="1" t="s">
        <v>90</v>
      </c>
      <c r="F1" s="1" t="s">
        <v>91</v>
      </c>
    </row>
    <row r="2" spans="1:6">
      <c r="A2" t="s">
        <v>89</v>
      </c>
      <c r="B2" t="s">
        <v>89</v>
      </c>
      <c r="C2" t="s">
        <v>89</v>
      </c>
      <c r="D2" t="s">
        <v>89</v>
      </c>
      <c r="E2" t="s">
        <v>92</v>
      </c>
      <c r="F2" t="s">
        <v>93</v>
      </c>
    </row>
  </sheetData>
  <phoneticPr fontId="2" type="noConversion"/>
  <pageMargins left="0.75" right="0.75" top="1" bottom="1" header="0.5" footer="0.5"/>
  <pageSetup paperSize="9" orientation="portrait" r:id="rId1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030A0"/>
  </sheetPr>
  <dimension ref="A1:C2"/>
  <sheetViews>
    <sheetView zoomScaleNormal="100" workbookViewId="0">
      <selection activeCell="E12" sqref="E12"/>
    </sheetView>
  </sheetViews>
  <sheetFormatPr defaultRowHeight="14.4"/>
  <cols>
    <col min="1" max="1" width="19.33203125" customWidth="1"/>
    <col min="2" max="2" width="26.33203125" customWidth="1"/>
    <col min="3" max="3" width="25.88671875" customWidth="1"/>
    <col min="4" max="4" width="19.33203125" customWidth="1"/>
  </cols>
  <sheetData>
    <row r="1" spans="1:3">
      <c r="A1" s="1" t="s">
        <v>45</v>
      </c>
      <c r="B1" s="1" t="s">
        <v>50</v>
      </c>
      <c r="C1" s="1" t="s">
        <v>51</v>
      </c>
    </row>
    <row r="2" spans="1:3">
      <c r="A2" t="s">
        <v>94</v>
      </c>
      <c r="B2">
        <v>27000</v>
      </c>
      <c r="C2">
        <v>110000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E1"/>
  <sheetViews>
    <sheetView workbookViewId="0">
      <selection activeCell="L24" sqref="L24"/>
    </sheetView>
  </sheetViews>
  <sheetFormatPr defaultRowHeight="14.4"/>
  <cols>
    <col min="1" max="5" width="17.33203125" style="4" customWidth="1"/>
    <col min="6" max="6" width="17.33203125" customWidth="1"/>
  </cols>
  <sheetData>
    <row r="1" spans="1:5">
      <c r="A1" s="5" t="s">
        <v>18</v>
      </c>
      <c r="B1" s="5" t="s">
        <v>8</v>
      </c>
      <c r="C1" s="5" t="s">
        <v>9</v>
      </c>
      <c r="D1" s="5" t="s">
        <v>45</v>
      </c>
      <c r="E1" s="5" t="s">
        <v>49</v>
      </c>
    </row>
  </sheetData>
  <phoneticPr fontId="2" type="noConversion"/>
  <pageMargins left="0.75" right="0.75" top="1" bottom="1" header="0.5" footer="0.5"/>
  <headerFooter>
    <oddHeader>&amp;R&amp;"Calibri"&amp;10&amp;K000000 Business Use&amp;1#_x000D_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a1fe4d-8588-4032-94de-b5f087f89ea1">
      <Terms xmlns="http://schemas.microsoft.com/office/infopath/2007/PartnerControls"/>
    </lcf76f155ced4ddcb4097134ff3c332f>
    <TaxCatchAll xmlns="3e5c434a-9a8c-47d3-b230-6faf5d671e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F0B0FCB471B64BAD2C86D86ACEDE2E" ma:contentTypeVersion="19" ma:contentTypeDescription="Create a new document." ma:contentTypeScope="" ma:versionID="4a75fe37023fb5f4d16fa6a1fdef61fd">
  <xsd:schema xmlns:xsd="http://www.w3.org/2001/XMLSchema" xmlns:xs="http://www.w3.org/2001/XMLSchema" xmlns:p="http://schemas.microsoft.com/office/2006/metadata/properties" xmlns:ns2="4fa1fe4d-8588-4032-94de-b5f087f89ea1" xmlns:ns3="3e5c434a-9a8c-47d3-b230-6faf5d671e3c" targetNamespace="http://schemas.microsoft.com/office/2006/metadata/properties" ma:root="true" ma:fieldsID="82908a000e5f9df994087713382cc6f4" ns2:_="" ns3:_="">
    <xsd:import namespace="4fa1fe4d-8588-4032-94de-b5f087f89ea1"/>
    <xsd:import namespace="3e5c434a-9a8c-47d3-b230-6faf5d671e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1fe4d-8588-4032-94de-b5f087f89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81b625c-6132-4315-8b99-2d7d4df075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c434a-9a8c-47d3-b230-6faf5d671e3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dc51c6e-7c2d-4fed-8895-87592686ee89}" ma:internalName="TaxCatchAll" ma:showField="CatchAllData" ma:web="3e5c434a-9a8c-47d3-b230-6faf5d671e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CEDD9E-D8FB-452A-93F3-0CE65351BD48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4fa1fe4d-8588-4032-94de-b5f087f89ea1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3e5c434a-9a8c-47d3-b230-6faf5d671e3c"/>
  </ds:schemaRefs>
</ds:datastoreItem>
</file>

<file path=customXml/itemProps2.xml><?xml version="1.0" encoding="utf-8"?>
<ds:datastoreItem xmlns:ds="http://schemas.openxmlformats.org/officeDocument/2006/customXml" ds:itemID="{242A94DD-F06F-4253-B184-EA5CA2A3D5AA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4fa1fe4d-8588-4032-94de-b5f087f89ea1"/>
    <ds:schemaRef ds:uri="3e5c434a-9a8c-47d3-b230-6faf5d671e3c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4FC2B5-5BAA-43DD-9CD5-D3FFF178B9D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Global_seed</vt:lpstr>
      <vt:lpstr>Global_Network</vt:lpstr>
      <vt:lpstr>Global_SpaceCapacity</vt:lpstr>
      <vt:lpstr>Global_LeadTime</vt:lpstr>
      <vt:lpstr>Global_DemandPriority</vt:lpstr>
      <vt:lpstr>M1_InitialInventory</vt:lpstr>
      <vt:lpstr>M1_DemandForecast</vt:lpstr>
      <vt:lpstr>M1_ForecastError</vt:lpstr>
      <vt:lpstr>M1_OrderCalendar</vt:lpstr>
      <vt:lpstr>M1_AOConfig</vt:lpstr>
      <vt:lpstr>M1_DPSConfig</vt:lpstr>
      <vt:lpstr>M1_SupplyChoiceConfig</vt:lpstr>
      <vt:lpstr>M3_SafetyStock</vt:lpstr>
      <vt:lpstr>M4_MaterialLocationLineCfg</vt:lpstr>
      <vt:lpstr>M4_LineCapacity</vt:lpstr>
      <vt:lpstr>M4_ChangeoverDefinition</vt:lpstr>
      <vt:lpstr>M4_ChangeoverMatrix</vt:lpstr>
      <vt:lpstr>M4_ProductionReliability</vt:lpstr>
      <vt:lpstr>M5_PushPullModel</vt:lpstr>
      <vt:lpstr>M5_DeployConfig</vt:lpstr>
      <vt:lpstr>M6_TruckReleaseCon</vt:lpstr>
      <vt:lpstr>M6_MaterialMD</vt:lpstr>
      <vt:lpstr>M6_DeliveryDelayDistribution</vt:lpstr>
      <vt:lpstr>M6_MDQBypassRules</vt:lpstr>
      <vt:lpstr>M6_TruckTypeSpecs</vt:lpstr>
      <vt:lpstr>M6_TruckCapacityPlan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Zhang, Sen</cp:lastModifiedBy>
  <cp:revision/>
  <dcterms:created xsi:type="dcterms:W3CDTF">2025-09-03T09:00:24Z</dcterms:created>
  <dcterms:modified xsi:type="dcterms:W3CDTF">2026-06-01T07:26:40Z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  <property fmtid="{D5CDD505-2E9C-101B-9397-08002B2CF9AE}" pid="10" name="MediaServiceImageTags">
    <vt:lpwstr/>
  </property>
  <property fmtid="{D5CDD505-2E9C-101B-9397-08002B2CF9AE}" pid="11" name="ContentTypeId">
    <vt:lpwstr>0x01010035F0B0FCB471B64BAD2C86D86ACEDE2E</vt:lpwstr>
  </property>
  <property fmtid="{D5CDD505-2E9C-101B-9397-08002B2CF9AE}" pid="12" name="RevIMBCS">
    <vt:lpwstr>6;#Daily Work Documents [Standard]|c1df7c93-bf29-4bb4-a9f3-5b7aacc5e62b</vt:lpwstr>
  </property>
</Properties>
</file>