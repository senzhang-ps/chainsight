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4" autoFilterDateGrouping="1"/>
  </bookViews>
  <sheets>
    <sheet name="Gantt Chart" sheetId="1" state="visible" r:id="rId1"/>
    <sheet name="Overview" sheetId="2" state="visible" r:id="rId2"/>
    <sheet name="WBS" sheetId="3" state="visible" r:id="rId3"/>
    <sheet name="Daily Plan" sheetId="4" state="visible" r:id="rId4"/>
    <sheet name="Progress Tracker" sheetId="5" state="visible" r:id="rId5"/>
    <sheet name="Hourly Gantt" sheetId="6" state="visible" r:id="rId6"/>
    <sheet name="Acceptance Criteria" sheetId="7" state="visible" r:id="rId7"/>
    <sheet name="Performance Gates" sheetId="8" state="visible" r:id="rId8"/>
  </sheets>
  <definedNames>
    <definedName name="_xlnm._FilterDatabase" localSheetId="0" hidden="1">'Gantt Chart'!$A$1:$FQ$22</definedName>
    <definedName name="_xlnm._FilterDatabase" localSheetId="1" hidden="1">'Overview'!$A$1:$D$8</definedName>
    <definedName name="_xlnm._FilterDatabase" localSheetId="2" hidden="1">'WBS'!$A$1:$F$16</definedName>
    <definedName name="_xlnm._FilterDatabase" localSheetId="3" hidden="1">'Daily Plan'!$A$1:$L$118</definedName>
    <definedName name="_xlnm._FilterDatabase" localSheetId="4" hidden="1">'Progress Tracker'!$A$1:$N$17</definedName>
    <definedName name="_xlnm._FilterDatabase" localSheetId="5" hidden="1">'Hourly Gantt'!$A$1:$FS$17</definedName>
    <definedName name="_xlnm._FilterDatabase" localSheetId="6" hidden="1">'Acceptance Criteria'!$A$1:$B$13</definedName>
    <definedName name="_xlnm._FilterDatabase" localSheetId="7" hidden="1">'Performance Gates'!$A$1:$B$8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5">
    <numFmt numFmtId="164" formatCode="m/d"/>
    <numFmt numFmtId="165" formatCode="yyyy\-mm\-dd"/>
    <numFmt numFmtId="166" formatCode="0.0"/>
    <numFmt numFmtId="167" formatCode="0.#"/>
    <numFmt numFmtId="168" formatCode="yyyy-mm-dd h:mm:ss"/>
  </numFmts>
  <fonts count="5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00B050"/>
      </patternFill>
    </fill>
    <fill>
      <patternFill patternType="solid">
        <fgColor rgb="FFC00000"/>
      </patternFill>
    </fill>
    <fill>
      <patternFill patternType="solid">
        <fgColor rgb="FF9DC3E6"/>
      </patternFill>
    </fill>
    <fill>
      <patternFill patternType="solid">
        <fgColor rgb="FFE7E6E6"/>
      </patternFill>
    </fill>
    <fill>
      <patternFill patternType="solid">
        <fgColor rgb="FF63BE7B"/>
      </patternFill>
    </fill>
    <fill>
      <patternFill patternType="solid">
        <fgColor rgb="FF305496"/>
      </patternFill>
    </fill>
    <fill>
      <patternFill patternType="solid">
        <fgColor rgb="FFA5A5A5"/>
      </patternFill>
    </fill>
    <fill>
      <patternFill patternType="solid">
        <fgColor rgb="FF5B9BD5"/>
      </patternFill>
    </fill>
    <fill>
      <patternFill patternType="solid">
        <fgColor rgb="FF808080"/>
      </patternFill>
    </fill>
    <fill>
      <patternFill patternType="solid">
        <fgColor rgb="FF9EADCC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9DC3E6"/>
        <bgColor rgb="FF9DC3E6"/>
      </patternFill>
    </fill>
    <fill>
      <patternFill patternType="solid">
        <fgColor rgb="FFE7E6E6"/>
        <bgColor rgb="FFE7E6E6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pivotButton="0" quotePrefix="0" xfId="0"/>
    <xf numFmtId="164" fontId="1" fillId="2" borderId="1" applyAlignment="1" pivotButton="0" quotePrefix="0" xfId="0">
      <alignment horizontal="center" textRotation="90"/>
    </xf>
    <xf numFmtId="165" fontId="0" fillId="0" borderId="1" applyAlignment="1" pivotButton="0" quotePrefix="0" xfId="0">
      <alignment vertical="top" wrapText="1"/>
    </xf>
    <xf numFmtId="0" fontId="2" fillId="0" borderId="0" pivotButton="0" quotePrefix="0" xfId="0"/>
    <xf numFmtId="9" fontId="0" fillId="5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0" borderId="1" pivotButton="0" quotePrefix="0" xfId="0"/>
    <xf numFmtId="0" fontId="0" fillId="9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1" fillId="12" borderId="0" pivotButton="0" quotePrefix="0" xfId="0"/>
    <xf numFmtId="0" fontId="0" fillId="0" borderId="0" applyAlignment="1" pivotButton="0" quotePrefix="0" xfId="0">
      <alignment vertical="top" wrapText="1"/>
    </xf>
    <xf numFmtId="0" fontId="1" fillId="1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4" fontId="1" fillId="12" borderId="1" applyAlignment="1" pivotButton="0" quotePrefix="0" xfId="0">
      <alignment horizontal="center" vertical="center" textRotation="90"/>
    </xf>
    <xf numFmtId="164" fontId="1" fillId="15" borderId="1" applyAlignment="1" pivotButton="0" quotePrefix="0" xfId="0">
      <alignment horizontal="center" vertical="center" textRotation="90"/>
    </xf>
    <xf numFmtId="167" fontId="0" fillId="0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164" fontId="1" fillId="2" borderId="1" applyAlignment="1" pivotButton="0" quotePrefix="0" xfId="0">
      <alignment horizontal="center" textRotation="90"/>
    </xf>
    <xf numFmtId="165" fontId="0" fillId="0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4" fontId="1" fillId="12" borderId="1" applyAlignment="1" pivotButton="0" quotePrefix="0" xfId="0">
      <alignment horizontal="center" vertical="center" textRotation="90"/>
    </xf>
    <xf numFmtId="164" fontId="1" fillId="15" borderId="1" applyAlignment="1" pivotButton="0" quotePrefix="0" xfId="0">
      <alignment horizontal="center" vertical="center" textRotation="90"/>
    </xf>
    <xf numFmtId="167" fontId="0" fillId="0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168" fontId="4" fillId="22" borderId="0" applyAlignment="1" pivotButton="0" quotePrefix="0" xfId="0">
      <alignment horizontal="center"/>
    </xf>
    <xf numFmtId="0" fontId="0" fillId="21" borderId="0" pivotButton="0" quotePrefix="0" xfId="0"/>
    <xf numFmtId="0" fontId="0" fillId="20" borderId="0" pivotButton="0" quotePrefix="0" xfId="0"/>
  </cellXfs>
  <cellStyles count="1">
    <cellStyle name="常规" xfId="0" builtinId="0"/>
  </cellStyles>
  <dxfs count="17">
    <dxf>
      <fill>
        <patternFill patternType="solid">
          <fgColor rgb="FFD9EAD3"/>
        </patternFill>
      </fill>
    </dxf>
    <dxf>
      <fill>
        <patternFill patternType="solid">
          <fgColor rgb="FF5B9BD5"/>
        </patternFill>
      </fill>
    </dxf>
    <dxf>
      <fill>
        <patternFill patternType="solid">
          <fgColor rgb="FF7030A0"/>
        </patternFill>
      </fill>
    </dxf>
    <dxf>
      <fill>
        <patternFill patternType="solid">
          <fgColor rgb="FFED7D31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5B9BD5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9EADCC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00B050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20"/>
  <sheetViews>
    <sheetView workbookViewId="0">
      <pane xSplit="10" ySplit="1" topLeftCell="K5" activePane="bottomRight" state="frozen"/>
      <selection pane="topRight" activeCell="A1" sqref="A1"/>
      <selection pane="bottomLeft" activeCell="A1" sqref="A1"/>
      <selection pane="bottomRight" activeCell="H14" sqref="H14"/>
    </sheetView>
  </sheetViews>
  <sheetFormatPr baseColWidth="8" defaultRowHeight="14.4"/>
  <cols>
    <col width="10" customWidth="1" style="38" min="1" max="1"/>
    <col width="16" customWidth="1" style="38" min="2" max="2"/>
    <col width="34" customWidth="1" style="38" min="3" max="3"/>
    <col width="12" customWidth="1" style="38" min="4" max="5"/>
    <col width="14" customWidth="1" style="38" min="6" max="6"/>
    <col width="12" customWidth="1" style="38" min="7" max="7"/>
    <col width="14" customWidth="1" style="38" min="8" max="8"/>
    <col width="18" customWidth="1" style="38" min="9" max="9"/>
    <col width="42" customWidth="1" style="38" min="10" max="10"/>
    <col width="4" customWidth="1" style="38" min="11" max="173"/>
    <col width="13" customWidth="1" style="38" min="173" max="173"/>
    <col width="13" customWidth="1" style="38" min="174" max="174"/>
    <col width="13" customWidth="1" style="38" min="175" max="175"/>
    <col width="13" customWidth="1" style="38" min="176" max="176"/>
    <col width="13" customWidth="1" style="38" min="177" max="177"/>
    <col width="13" customWidth="1" style="38" min="178" max="178"/>
    <col width="13" customWidth="1" style="38" min="179" max="179"/>
    <col width="13" customWidth="1" style="38" min="180" max="180"/>
  </cols>
  <sheetData>
    <row r="1" ht="34.2" customHeight="1" s="38">
      <c r="A1" s="5" t="inlineStr">
        <is>
          <t>ID</t>
        </is>
      </c>
      <c r="B1" s="5" t="inlineStr">
        <is>
          <t>Workstream</t>
        </is>
      </c>
      <c r="C1" s="5" t="inlineStr">
        <is>
          <t>Task</t>
        </is>
      </c>
      <c r="D1" s="5" t="inlineStr">
        <is>
          <t>Start</t>
        </is>
      </c>
      <c r="E1" s="5" t="inlineStr">
        <is>
          <t>End</t>
        </is>
      </c>
      <c r="F1" s="5" t="inlineStr">
        <is>
          <t>Status</t>
        </is>
      </c>
      <c r="G1" s="5" t="inlineStr">
        <is>
          <t>Progress %</t>
        </is>
      </c>
      <c r="H1" s="5" t="inlineStr">
        <is>
          <t>Owner</t>
        </is>
      </c>
      <c r="I1" s="5" t="inlineStr">
        <is>
          <t>Dependency</t>
        </is>
      </c>
      <c r="J1" s="5" t="inlineStr">
        <is>
          <t>Acceptance Criteria</t>
        </is>
      </c>
      <c r="K1" s="39" t="n">
        <v>46148</v>
      </c>
      <c r="L1" s="39" t="n">
        <v>46149</v>
      </c>
      <c r="M1" s="39" t="n">
        <v>46150</v>
      </c>
      <c r="N1" s="39" t="n">
        <v>46151</v>
      </c>
      <c r="O1" s="39" t="n">
        <v>46152</v>
      </c>
      <c r="P1" s="39" t="n">
        <v>46153</v>
      </c>
      <c r="Q1" s="39" t="n">
        <v>46154</v>
      </c>
      <c r="R1" s="39" t="n">
        <v>46155</v>
      </c>
      <c r="S1" s="39" t="n">
        <v>46156</v>
      </c>
      <c r="T1" s="39" t="n">
        <v>46157</v>
      </c>
      <c r="U1" s="39" t="n">
        <v>46158</v>
      </c>
      <c r="V1" s="39" t="n">
        <v>46159</v>
      </c>
      <c r="W1" s="39" t="n">
        <v>46160</v>
      </c>
      <c r="X1" s="39" t="n">
        <v>46161</v>
      </c>
      <c r="Y1" s="39" t="n">
        <v>46162</v>
      </c>
      <c r="Z1" s="39" t="n">
        <v>46163</v>
      </c>
      <c r="AA1" s="39" t="n">
        <v>46164</v>
      </c>
      <c r="AB1" s="39" t="n">
        <v>46165</v>
      </c>
      <c r="AC1" s="39" t="n">
        <v>46166</v>
      </c>
      <c r="AD1" s="39" t="n">
        <v>46167</v>
      </c>
      <c r="AE1" s="39" t="n">
        <v>46168</v>
      </c>
      <c r="AF1" s="39" t="n">
        <v>46169</v>
      </c>
      <c r="AG1" s="39" t="n">
        <v>46170</v>
      </c>
      <c r="AH1" s="39" t="n">
        <v>46171</v>
      </c>
      <c r="AI1" s="39" t="n">
        <v>46172</v>
      </c>
      <c r="AJ1" s="39" t="n">
        <v>46173</v>
      </c>
      <c r="AK1" s="39" t="n">
        <v>46174</v>
      </c>
      <c r="AL1" s="39" t="n">
        <v>46175</v>
      </c>
      <c r="AM1" s="39" t="n">
        <v>46176</v>
      </c>
      <c r="AN1" s="39" t="n">
        <v>46177</v>
      </c>
      <c r="AO1" s="39" t="n">
        <v>46178</v>
      </c>
      <c r="AP1" s="39" t="n">
        <v>46179</v>
      </c>
      <c r="AQ1" s="39" t="n">
        <v>46180</v>
      </c>
      <c r="AR1" s="39" t="n">
        <v>46181</v>
      </c>
      <c r="AS1" s="39" t="n">
        <v>46182</v>
      </c>
      <c r="AT1" s="39" t="n">
        <v>46183</v>
      </c>
      <c r="AU1" s="39" t="n">
        <v>46184</v>
      </c>
      <c r="AV1" s="39" t="n">
        <v>46185</v>
      </c>
      <c r="AW1" s="39" t="n">
        <v>46186</v>
      </c>
      <c r="AX1" s="39" t="n">
        <v>46187</v>
      </c>
      <c r="AY1" s="39" t="n">
        <v>46188</v>
      </c>
      <c r="AZ1" s="39" t="n">
        <v>46189</v>
      </c>
      <c r="BA1" s="39" t="n">
        <v>46190</v>
      </c>
      <c r="BB1" s="39" t="n">
        <v>46191</v>
      </c>
      <c r="BC1" s="39" t="n">
        <v>46192</v>
      </c>
      <c r="BD1" s="39" t="n">
        <v>46193</v>
      </c>
      <c r="BE1" s="39" t="n">
        <v>46194</v>
      </c>
      <c r="BF1" s="39" t="n">
        <v>46195</v>
      </c>
      <c r="BG1" s="39" t="n">
        <v>46196</v>
      </c>
      <c r="BH1" s="39" t="n">
        <v>46197</v>
      </c>
      <c r="BI1" s="39" t="n">
        <v>46198</v>
      </c>
      <c r="BJ1" s="39" t="n">
        <v>46199</v>
      </c>
      <c r="BK1" s="39" t="n">
        <v>46200</v>
      </c>
      <c r="BL1" s="39" t="n">
        <v>46201</v>
      </c>
      <c r="BM1" s="39" t="n">
        <v>46202</v>
      </c>
      <c r="BN1" s="39" t="n">
        <v>46203</v>
      </c>
      <c r="BO1" s="39" t="n">
        <v>46204</v>
      </c>
      <c r="BP1" s="39" t="n">
        <v>46205</v>
      </c>
      <c r="BQ1" s="39" t="n">
        <v>46206</v>
      </c>
      <c r="BR1" s="39" t="n">
        <v>46207</v>
      </c>
      <c r="BS1" s="39" t="n">
        <v>46208</v>
      </c>
      <c r="BT1" s="39" t="n">
        <v>46209</v>
      </c>
      <c r="BU1" s="39" t="n">
        <v>46210</v>
      </c>
      <c r="BV1" s="39" t="n">
        <v>46211</v>
      </c>
      <c r="BW1" s="39" t="n">
        <v>46212</v>
      </c>
      <c r="BX1" s="39" t="n">
        <v>46213</v>
      </c>
      <c r="BY1" s="39" t="n">
        <v>46214</v>
      </c>
      <c r="BZ1" s="39" t="n">
        <v>46215</v>
      </c>
      <c r="CA1" s="39" t="n">
        <v>46216</v>
      </c>
      <c r="CB1" s="39" t="n">
        <v>46217</v>
      </c>
      <c r="CC1" s="39" t="n">
        <v>46218</v>
      </c>
      <c r="CD1" s="39" t="n">
        <v>46219</v>
      </c>
      <c r="CE1" s="39" t="n">
        <v>46220</v>
      </c>
      <c r="CF1" s="39" t="n">
        <v>46221</v>
      </c>
      <c r="CG1" s="39" t="n">
        <v>46222</v>
      </c>
      <c r="CH1" s="39" t="n">
        <v>46223</v>
      </c>
      <c r="CI1" s="39" t="n">
        <v>46224</v>
      </c>
      <c r="CJ1" s="39" t="n">
        <v>46225</v>
      </c>
      <c r="CK1" s="39" t="n">
        <v>46226</v>
      </c>
      <c r="CL1" s="39" t="n">
        <v>46227</v>
      </c>
      <c r="CM1" s="39" t="n">
        <v>46228</v>
      </c>
      <c r="CN1" s="39" t="n">
        <v>46229</v>
      </c>
      <c r="CO1" s="39" t="n">
        <v>46230</v>
      </c>
      <c r="CP1" s="39" t="n">
        <v>46231</v>
      </c>
      <c r="CQ1" s="39" t="n">
        <v>46232</v>
      </c>
      <c r="CR1" s="39" t="n">
        <v>46233</v>
      </c>
      <c r="CS1" s="39" t="n">
        <v>46234</v>
      </c>
      <c r="CT1" s="39" t="n">
        <v>46235</v>
      </c>
      <c r="CU1" s="39" t="n">
        <v>46236</v>
      </c>
      <c r="CV1" s="39" t="n">
        <v>46237</v>
      </c>
      <c r="CW1" s="39" t="n">
        <v>46238</v>
      </c>
      <c r="CX1" s="39" t="n">
        <v>46239</v>
      </c>
      <c r="CY1" s="39" t="n">
        <v>46240</v>
      </c>
      <c r="CZ1" s="39" t="n">
        <v>46241</v>
      </c>
      <c r="DA1" s="39" t="n">
        <v>46242</v>
      </c>
      <c r="DB1" s="39" t="n">
        <v>46243</v>
      </c>
      <c r="DC1" s="39" t="n">
        <v>46244</v>
      </c>
      <c r="DD1" s="39" t="n">
        <v>46245</v>
      </c>
      <c r="DE1" s="39" t="n">
        <v>46246</v>
      </c>
      <c r="DF1" s="39" t="n">
        <v>46247</v>
      </c>
      <c r="DG1" s="39" t="n">
        <v>46248</v>
      </c>
      <c r="DH1" s="39" t="n">
        <v>46249</v>
      </c>
      <c r="DI1" s="39" t="n">
        <v>46250</v>
      </c>
      <c r="DJ1" s="39" t="n">
        <v>46251</v>
      </c>
      <c r="DK1" s="39" t="n">
        <v>46252</v>
      </c>
      <c r="DL1" s="39" t="n">
        <v>46253</v>
      </c>
      <c r="DM1" s="39" t="n">
        <v>46254</v>
      </c>
      <c r="DN1" s="39" t="n">
        <v>46255</v>
      </c>
      <c r="DO1" s="39" t="n">
        <v>46256</v>
      </c>
      <c r="DP1" s="39" t="n">
        <v>46257</v>
      </c>
      <c r="DQ1" s="39" t="n">
        <v>46258</v>
      </c>
      <c r="DR1" s="39" t="n">
        <v>46259</v>
      </c>
      <c r="DS1" s="39" t="n">
        <v>46260</v>
      </c>
      <c r="DT1" s="39" t="n">
        <v>46261</v>
      </c>
      <c r="DU1" s="39" t="n">
        <v>46262</v>
      </c>
      <c r="DV1" s="39" t="n">
        <v>46263</v>
      </c>
      <c r="DW1" s="39" t="n">
        <v>46264</v>
      </c>
      <c r="DX1" s="39" t="n">
        <v>46265</v>
      </c>
      <c r="DY1" s="39" t="n">
        <v>46266</v>
      </c>
      <c r="DZ1" s="39" t="n">
        <v>46267</v>
      </c>
      <c r="EA1" s="39" t="n">
        <v>46268</v>
      </c>
      <c r="EB1" s="39" t="n">
        <v>46269</v>
      </c>
      <c r="EC1" s="39" t="n">
        <v>46270</v>
      </c>
      <c r="ED1" s="39" t="n">
        <v>46271</v>
      </c>
      <c r="EE1" s="39" t="n">
        <v>46272</v>
      </c>
      <c r="EF1" s="39" t="n">
        <v>46273</v>
      </c>
      <c r="EG1" s="39" t="n">
        <v>46274</v>
      </c>
      <c r="EH1" s="39" t="n">
        <v>46275</v>
      </c>
      <c r="EI1" s="39" t="n">
        <v>46276</v>
      </c>
      <c r="EJ1" s="39" t="n">
        <v>46277</v>
      </c>
      <c r="EK1" s="39" t="n">
        <v>46278</v>
      </c>
      <c r="EL1" s="39" t="n">
        <v>46279</v>
      </c>
      <c r="EM1" s="39" t="n">
        <v>46280</v>
      </c>
      <c r="EN1" s="39" t="n">
        <v>46281</v>
      </c>
      <c r="EO1" s="39" t="n">
        <v>46282</v>
      </c>
      <c r="EP1" s="39" t="n">
        <v>46283</v>
      </c>
      <c r="EQ1" s="39" t="n">
        <v>46284</v>
      </c>
      <c r="ER1" s="39" t="n">
        <v>46285</v>
      </c>
      <c r="ES1" s="39" t="n">
        <v>46286</v>
      </c>
      <c r="ET1" s="39" t="n">
        <v>46287</v>
      </c>
      <c r="EU1" s="39" t="n">
        <v>46288</v>
      </c>
      <c r="EV1" s="39" t="n">
        <v>46289</v>
      </c>
      <c r="EW1" s="39" t="n">
        <v>46290</v>
      </c>
      <c r="EX1" s="39" t="n">
        <v>46291</v>
      </c>
      <c r="EY1" s="39" t="n">
        <v>46292</v>
      </c>
      <c r="EZ1" s="39" t="n">
        <v>46293</v>
      </c>
      <c r="FA1" s="39" t="n">
        <v>46294</v>
      </c>
      <c r="FB1" s="39" t="n">
        <v>46295</v>
      </c>
      <c r="FC1" s="39" t="n">
        <v>46296</v>
      </c>
      <c r="FD1" s="39" t="n">
        <v>46297</v>
      </c>
      <c r="FE1" s="39" t="n">
        <v>46298</v>
      </c>
      <c r="FF1" s="39" t="n">
        <v>46299</v>
      </c>
      <c r="FG1" s="39" t="n">
        <v>46300</v>
      </c>
      <c r="FH1" s="39" t="n">
        <v>46301</v>
      </c>
      <c r="FI1" s="39" t="n">
        <v>46302</v>
      </c>
      <c r="FJ1" s="39" t="n">
        <v>46303</v>
      </c>
      <c r="FK1" s="39" t="n">
        <v>46304</v>
      </c>
      <c r="FL1" s="39" t="n">
        <v>46305</v>
      </c>
      <c r="FM1" s="39" t="n">
        <v>46306</v>
      </c>
      <c r="FN1" s="39" t="n">
        <v>46307</v>
      </c>
      <c r="FO1" s="39" t="n">
        <v>46308</v>
      </c>
      <c r="FP1" s="39" t="n">
        <v>46309</v>
      </c>
      <c r="FQ1" s="39" t="n">
        <v>46310</v>
      </c>
      <c r="FR1" s="49" t="n">
        <v>46311</v>
      </c>
      <c r="FS1" s="49" t="n">
        <v>46312</v>
      </c>
      <c r="FT1" s="49" t="n">
        <v>46313</v>
      </c>
      <c r="FU1" s="49" t="n">
        <v>46314</v>
      </c>
      <c r="FV1" s="49" t="n">
        <v>46315</v>
      </c>
      <c r="FW1" s="49" t="n">
        <v>46316</v>
      </c>
      <c r="FX1" s="49" t="n">
        <v>46317</v>
      </c>
      <c r="FY1" s="19" t="inlineStr">
        <is>
          <t>工时版</t>
        </is>
      </c>
      <c r="FZ1" s="19" t="inlineStr">
        <is>
          <t>备注</t>
        </is>
      </c>
    </row>
    <row r="2" ht="172.8" customHeight="1" s="38">
      <c r="A2" s="2" t="inlineStr">
        <is>
          <t>P0</t>
        </is>
      </c>
      <c r="B2" s="2" t="inlineStr">
        <is>
          <t>启动</t>
        </is>
      </c>
      <c r="C2" s="2" t="inlineStr">
        <is>
          <t>基线、风险、计划</t>
        </is>
      </c>
      <c r="D2" s="40" t="n">
        <v>46148</v>
      </c>
      <c r="E2" s="40" t="n">
        <v>46151</v>
      </c>
      <c r="F2" s="3" t="inlineStr">
        <is>
          <t>pending</t>
        </is>
      </c>
      <c r="G2" s="9" t="n">
        <v>0</v>
      </c>
      <c r="H2" s="2" t="n"/>
      <c r="I2" s="2" t="inlineStr">
        <is>
          <t>无</t>
        </is>
      </c>
      <c r="J2" s="2" t="inlineStr">
        <is>
          <t>baseline + risk list 完成</t>
        </is>
      </c>
      <c r="K2" s="41" t="n"/>
      <c r="L2" s="41" t="n"/>
      <c r="M2" s="41" t="n"/>
      <c r="N2" s="42" t="n"/>
      <c r="O2" s="42" t="n"/>
      <c r="P2" s="2" t="n"/>
      <c r="Q2" s="2" t="n"/>
      <c r="R2" s="2" t="n"/>
      <c r="S2" s="2" t="n"/>
      <c r="T2" s="2" t="n"/>
      <c r="U2" s="42" t="n"/>
      <c r="V2" s="42" t="n"/>
      <c r="W2" s="2" t="n"/>
      <c r="X2" s="2" t="n"/>
      <c r="Y2" s="2" t="n"/>
      <c r="Z2" s="2" t="n"/>
      <c r="AA2" s="2" t="n"/>
      <c r="AB2" s="42" t="n"/>
      <c r="AC2" s="42" t="n"/>
      <c r="AD2" s="2" t="n"/>
      <c r="AE2" s="2" t="n"/>
      <c r="AF2" s="2" t="n"/>
      <c r="AG2" s="2" t="n"/>
      <c r="AH2" s="2" t="n"/>
      <c r="AI2" s="42" t="n"/>
      <c r="AJ2" s="42" t="n"/>
      <c r="AK2" s="2" t="n"/>
      <c r="AL2" s="2" t="n"/>
      <c r="AM2" s="2" t="n"/>
      <c r="AN2" s="2" t="n"/>
      <c r="AO2" s="2" t="n"/>
      <c r="AP2" s="42" t="n"/>
      <c r="AQ2" s="42" t="n"/>
      <c r="AR2" s="2" t="n"/>
      <c r="AS2" s="2" t="n"/>
      <c r="AT2" s="2" t="n"/>
      <c r="AU2" s="2" t="n"/>
      <c r="AV2" s="2" t="n"/>
      <c r="AW2" s="42" t="n"/>
      <c r="AX2" s="42" t="n"/>
      <c r="AY2" s="2" t="n"/>
      <c r="AZ2" s="2" t="n"/>
      <c r="BA2" s="2" t="n"/>
      <c r="BB2" s="2" t="n"/>
      <c r="BC2" s="42" t="n"/>
      <c r="BD2" s="42" t="n"/>
      <c r="BE2" s="42" t="n"/>
      <c r="BF2" s="2" t="n"/>
      <c r="BG2" s="2" t="n"/>
      <c r="BH2" s="2" t="n"/>
      <c r="BI2" s="2" t="n"/>
      <c r="BJ2" s="2" t="n"/>
      <c r="BK2" s="42" t="n"/>
      <c r="BL2" s="42" t="n"/>
      <c r="BM2" s="2" t="n"/>
      <c r="BN2" s="2" t="n"/>
      <c r="BO2" s="2" t="n"/>
      <c r="BP2" s="2" t="n"/>
      <c r="BQ2" s="2" t="n"/>
      <c r="BR2" s="42" t="n"/>
      <c r="BS2" s="42" t="n"/>
      <c r="BT2" s="2" t="n"/>
      <c r="BU2" s="2" t="n"/>
      <c r="BV2" s="2" t="n"/>
      <c r="BW2" s="2" t="n"/>
      <c r="BX2" s="2" t="n"/>
      <c r="BY2" s="42" t="n"/>
      <c r="BZ2" s="42" t="n"/>
      <c r="CA2" s="2" t="n"/>
      <c r="CB2" s="2" t="n"/>
      <c r="CC2" s="2" t="n"/>
      <c r="CD2" s="2" t="n"/>
      <c r="CE2" s="2" t="n"/>
      <c r="CF2" s="42" t="n"/>
      <c r="CG2" s="42" t="n"/>
      <c r="CH2" s="2" t="n"/>
      <c r="CI2" s="2" t="n"/>
      <c r="CJ2" s="2" t="n"/>
      <c r="CK2" s="2" t="n"/>
      <c r="CL2" s="2" t="n"/>
      <c r="CM2" s="42" t="n"/>
      <c r="CN2" s="42" t="n"/>
      <c r="CO2" s="2" t="n"/>
      <c r="CP2" s="2" t="n"/>
      <c r="CQ2" s="2" t="n"/>
      <c r="CR2" s="2" t="n"/>
      <c r="CS2" s="2" t="n"/>
      <c r="CT2" s="42" t="n"/>
      <c r="CU2" s="42" t="n"/>
      <c r="CV2" s="2" t="n"/>
      <c r="CW2" s="2" t="n"/>
      <c r="CX2" s="2" t="n"/>
      <c r="CY2" s="2" t="n"/>
      <c r="CZ2" s="2" t="n"/>
      <c r="DA2" s="42" t="n"/>
      <c r="DB2" s="42" t="n"/>
      <c r="DC2" s="2" t="n"/>
      <c r="DD2" s="2" t="n"/>
      <c r="DE2" s="2" t="n"/>
      <c r="DF2" s="2" t="n"/>
      <c r="DG2" s="2" t="n"/>
      <c r="DH2" s="42" t="n"/>
      <c r="DI2" s="42" t="n"/>
      <c r="DJ2" s="2" t="n"/>
      <c r="DK2" s="2" t="n"/>
      <c r="DL2" s="2" t="n"/>
      <c r="DM2" s="2" t="n"/>
      <c r="DN2" s="2" t="n"/>
      <c r="DO2" s="42" t="n"/>
      <c r="DP2" s="42" t="n"/>
      <c r="DQ2" s="2" t="n"/>
      <c r="DR2" s="2" t="n"/>
      <c r="DS2" s="2" t="n"/>
      <c r="DT2" s="2" t="n"/>
      <c r="DU2" s="2" t="n"/>
      <c r="DV2" s="42" t="n"/>
      <c r="DW2" s="42" t="n"/>
      <c r="DX2" s="2" t="n"/>
      <c r="DY2" s="2" t="n"/>
      <c r="DZ2" s="2" t="n"/>
      <c r="EA2" s="2" t="n"/>
      <c r="EB2" s="2" t="n"/>
      <c r="EC2" s="42" t="n"/>
      <c r="ED2" s="42" t="n"/>
      <c r="EE2" s="2" t="n"/>
      <c r="EF2" s="2" t="n"/>
      <c r="EG2" s="2" t="n"/>
      <c r="EH2" s="2" t="n"/>
      <c r="EI2" s="2" t="n"/>
      <c r="EJ2" s="42" t="n"/>
      <c r="EK2" s="42" t="n"/>
      <c r="EL2" s="2" t="n"/>
      <c r="EM2" s="2" t="n"/>
      <c r="EN2" s="2" t="n"/>
      <c r="EO2" s="2" t="n"/>
      <c r="EP2" s="2" t="n"/>
      <c r="EQ2" s="42" t="n"/>
      <c r="ER2" s="42" t="n"/>
      <c r="ES2" s="2" t="n"/>
      <c r="ET2" s="2" t="n"/>
      <c r="EU2" s="2" t="n"/>
      <c r="EV2" s="2" t="n"/>
      <c r="EW2" s="42" t="n"/>
      <c r="EX2" s="42" t="n"/>
      <c r="EY2" s="42" t="n"/>
      <c r="EZ2" s="2" t="n"/>
      <c r="FA2" s="2" t="n"/>
      <c r="FB2" s="2" t="n"/>
      <c r="FC2" s="42" t="n"/>
      <c r="FD2" s="42" t="n"/>
      <c r="FE2" s="42" t="n"/>
      <c r="FF2" s="42" t="n"/>
      <c r="FG2" s="42" t="n"/>
      <c r="FH2" s="42" t="n"/>
      <c r="FI2" s="42" t="n"/>
      <c r="FJ2" s="2" t="n"/>
      <c r="FK2" s="2" t="n"/>
      <c r="FL2" s="42" t="n"/>
      <c r="FM2" s="42" t="n"/>
      <c r="FN2" s="2" t="n"/>
      <c r="FO2" s="2" t="n"/>
      <c r="FP2" s="2" t="n"/>
      <c r="FQ2" s="2" t="n"/>
      <c r="FS2" s="50" t="n"/>
      <c r="FT2" s="50" t="n"/>
      <c r="FY2" s="37" t="inlineStr">
        <is>
          <t>见 Hourly Gantt：按每日计划工时展示，当前默认 10h/日级任务，并汇总完成/剩余工时。</t>
        </is>
      </c>
      <c r="FZ2" s="37" t="inlineStr">
        <is>
          <t>见 Hourly Gantt：按每日计划工时展示，当前默认 10h/日级任务，并汇总完成/剩余工时。</t>
        </is>
      </c>
    </row>
    <row r="3" ht="28.8" customHeight="1" s="38">
      <c r="A3" s="2" t="inlineStr">
        <is>
          <t>MLE-1</t>
        </is>
      </c>
      <c r="B3" s="2" t="inlineStr">
        <is>
          <t>工程</t>
        </is>
      </c>
      <c r="C3" s="2" t="inlineStr">
        <is>
          <t>M1 订单生成逻辑</t>
        </is>
      </c>
      <c r="D3" s="40" t="n">
        <v>46153</v>
      </c>
      <c r="E3" s="40" t="n">
        <v>46171</v>
      </c>
      <c r="F3" s="3" t="inlineStr">
        <is>
          <t>in-progress</t>
        </is>
      </c>
      <c r="G3" s="9" t="n">
        <v>0</v>
      </c>
      <c r="H3" s="2" t="n"/>
      <c r="I3" s="2" t="inlineStr">
        <is>
          <t>P0</t>
        </is>
      </c>
      <c r="J3" s="2" t="inlineStr">
        <is>
          <t>demand_planning_refactor 已实现，待主入口切换、回归和性能确认</t>
        </is>
      </c>
      <c r="K3" s="2" t="n"/>
      <c r="L3" s="2" t="n"/>
      <c r="M3" s="2" t="n"/>
      <c r="N3" s="42" t="n"/>
      <c r="O3" s="42" t="n"/>
      <c r="P3" s="41" t="n"/>
      <c r="Q3" s="41" t="n"/>
      <c r="R3" s="41" t="n"/>
      <c r="S3" s="41" t="n"/>
      <c r="T3" s="41" t="n"/>
      <c r="U3" s="42" t="n"/>
      <c r="V3" s="42" t="n"/>
      <c r="W3" s="41" t="n"/>
      <c r="X3" s="41" t="n"/>
      <c r="Y3" s="41" t="n"/>
      <c r="Z3" s="41" t="n"/>
      <c r="AA3" s="41" t="n"/>
      <c r="AB3" s="42" t="n"/>
      <c r="AC3" s="42" t="n"/>
      <c r="AD3" s="41" t="n"/>
      <c r="AE3" s="41" t="n"/>
      <c r="AF3" s="41" t="n"/>
      <c r="AG3" s="41" t="n"/>
      <c r="AH3" s="41" t="n"/>
      <c r="AI3" s="42" t="n"/>
      <c r="AJ3" s="42" t="n"/>
      <c r="AK3" s="2" t="n"/>
      <c r="AL3" s="2" t="n"/>
      <c r="AM3" s="2" t="n"/>
      <c r="AN3" s="2" t="n"/>
      <c r="AO3" s="2" t="n"/>
      <c r="AP3" s="42" t="n"/>
      <c r="AQ3" s="42" t="n"/>
      <c r="AR3" s="2" t="n"/>
      <c r="AS3" s="2" t="n"/>
      <c r="AT3" s="2" t="n"/>
      <c r="AU3" s="2" t="n"/>
      <c r="AV3" s="2" t="n"/>
      <c r="AW3" s="42" t="n"/>
      <c r="AX3" s="42" t="n"/>
      <c r="AY3" s="2" t="n"/>
      <c r="AZ3" s="2" t="n"/>
      <c r="BA3" s="2" t="n"/>
      <c r="BB3" s="2" t="n"/>
      <c r="BC3" s="42" t="n"/>
      <c r="BD3" s="42" t="n"/>
      <c r="BE3" s="42" t="n"/>
      <c r="BF3" s="2" t="n"/>
      <c r="BG3" s="2" t="n"/>
      <c r="BH3" s="2" t="n"/>
      <c r="BI3" s="2" t="n"/>
      <c r="BJ3" s="2" t="n"/>
      <c r="BK3" s="42" t="n"/>
      <c r="BL3" s="42" t="n"/>
      <c r="BM3" s="2" t="n"/>
      <c r="BN3" s="2" t="n"/>
      <c r="BO3" s="2" t="n"/>
      <c r="BP3" s="2" t="n"/>
      <c r="BQ3" s="2" t="n"/>
      <c r="BR3" s="42" t="n"/>
      <c r="BS3" s="42" t="n"/>
      <c r="BT3" s="2" t="n"/>
      <c r="BU3" s="2" t="n"/>
      <c r="BV3" s="2" t="n"/>
      <c r="BW3" s="2" t="n"/>
      <c r="BX3" s="2" t="n"/>
      <c r="BY3" s="42" t="n"/>
      <c r="BZ3" s="42" t="n"/>
      <c r="CA3" s="2" t="n"/>
      <c r="CB3" s="2" t="n"/>
      <c r="CC3" s="2" t="n"/>
      <c r="CD3" s="2" t="n"/>
      <c r="CE3" s="2" t="n"/>
      <c r="CF3" s="42" t="n"/>
      <c r="CG3" s="42" t="n"/>
      <c r="CH3" s="2" t="n"/>
      <c r="CI3" s="2" t="n"/>
      <c r="CJ3" s="2" t="n"/>
      <c r="CK3" s="2" t="n"/>
      <c r="CL3" s="2" t="n"/>
      <c r="CM3" s="42" t="n"/>
      <c r="CN3" s="42" t="n"/>
      <c r="CO3" s="2" t="n"/>
      <c r="CP3" s="2" t="n"/>
      <c r="CQ3" s="2" t="n"/>
      <c r="CR3" s="2" t="n"/>
      <c r="CS3" s="2" t="n"/>
      <c r="CT3" s="42" t="n"/>
      <c r="CU3" s="42" t="n"/>
      <c r="CV3" s="2" t="n"/>
      <c r="CW3" s="2" t="n"/>
      <c r="CX3" s="2" t="n"/>
      <c r="CY3" s="2" t="n"/>
      <c r="CZ3" s="2" t="n"/>
      <c r="DA3" s="42" t="n"/>
      <c r="DB3" s="42" t="n"/>
      <c r="DC3" s="2" t="n"/>
      <c r="DD3" s="2" t="n"/>
      <c r="DE3" s="2" t="n"/>
      <c r="DF3" s="2" t="n"/>
      <c r="DG3" s="2" t="n"/>
      <c r="DH3" s="42" t="n"/>
      <c r="DI3" s="42" t="n"/>
      <c r="DJ3" s="2" t="n"/>
      <c r="DK3" s="2" t="n"/>
      <c r="DL3" s="2" t="n"/>
      <c r="DM3" s="2" t="n"/>
      <c r="DN3" s="2" t="n"/>
      <c r="DO3" s="42" t="n"/>
      <c r="DP3" s="42" t="n"/>
      <c r="DQ3" s="2" t="n"/>
      <c r="DR3" s="2" t="n"/>
      <c r="DS3" s="2" t="n"/>
      <c r="DT3" s="2" t="n"/>
      <c r="DU3" s="2" t="n"/>
      <c r="DV3" s="42" t="n"/>
      <c r="DW3" s="42" t="n"/>
      <c r="DX3" s="2" t="n"/>
      <c r="DY3" s="2" t="n"/>
      <c r="DZ3" s="2" t="n"/>
      <c r="EA3" s="2" t="n"/>
      <c r="EB3" s="2" t="n"/>
      <c r="EC3" s="42" t="n"/>
      <c r="ED3" s="42" t="n"/>
      <c r="EE3" s="2" t="n"/>
      <c r="EF3" s="2" t="n"/>
      <c r="EG3" s="2" t="n"/>
      <c r="EH3" s="2" t="n"/>
      <c r="EI3" s="2" t="n"/>
      <c r="EJ3" s="42" t="n"/>
      <c r="EK3" s="42" t="n"/>
      <c r="EL3" s="2" t="n"/>
      <c r="EM3" s="2" t="n"/>
      <c r="EN3" s="2" t="n"/>
      <c r="EO3" s="2" t="n"/>
      <c r="EP3" s="2" t="n"/>
      <c r="EQ3" s="42" t="n"/>
      <c r="ER3" s="42" t="n"/>
      <c r="ES3" s="2" t="n"/>
      <c r="ET3" s="2" t="n"/>
      <c r="EU3" s="2" t="n"/>
      <c r="EV3" s="2" t="n"/>
      <c r="EW3" s="42" t="n"/>
      <c r="EX3" s="42" t="n"/>
      <c r="EY3" s="42" t="n"/>
      <c r="EZ3" s="2" t="n"/>
      <c r="FA3" s="2" t="n"/>
      <c r="FB3" s="2" t="n"/>
      <c r="FC3" s="42" t="n"/>
      <c r="FD3" s="42" t="n"/>
      <c r="FE3" s="42" t="n"/>
      <c r="FF3" s="42" t="n"/>
      <c r="FG3" s="42" t="n"/>
      <c r="FH3" s="42" t="n"/>
      <c r="FI3" s="42" t="n"/>
      <c r="FJ3" s="2" t="n"/>
      <c r="FK3" s="2" t="n"/>
      <c r="FL3" s="42" t="n"/>
      <c r="FM3" s="42" t="n"/>
      <c r="FN3" s="2" t="n"/>
      <c r="FO3" s="2" t="n"/>
      <c r="FP3" s="2" t="n"/>
      <c r="FQ3" s="2" t="n"/>
      <c r="FS3" s="50" t="n"/>
      <c r="FT3" s="50" t="n"/>
    </row>
    <row r="4">
      <c r="A4" s="2" t="inlineStr">
        <is>
          <t>MLE-2</t>
        </is>
      </c>
      <c r="B4" s="2" t="inlineStr">
        <is>
          <t>工程</t>
        </is>
      </c>
      <c r="C4" s="2" t="inlineStr">
        <is>
          <t>M4 多产线排程</t>
        </is>
      </c>
      <c r="D4" s="40" t="n">
        <v>46174</v>
      </c>
      <c r="E4" s="40" t="n">
        <v>46202</v>
      </c>
      <c r="F4" s="3" t="inlineStr">
        <is>
          <t>pending</t>
        </is>
      </c>
      <c r="G4" s="9" t="n">
        <v>0</v>
      </c>
      <c r="H4" s="2" t="n"/>
      <c r="I4" s="2" t="inlineStr">
        <is>
          <t>P0</t>
        </is>
      </c>
      <c r="J4" s="2" t="inlineStr">
        <is>
          <t>多产线 case 通过，输出兼容</t>
        </is>
      </c>
      <c r="K4" s="2" t="n"/>
      <c r="L4" s="2" t="n"/>
      <c r="M4" s="2" t="n"/>
      <c r="N4" s="42" t="n"/>
      <c r="O4" s="42" t="n"/>
      <c r="P4" s="2" t="n"/>
      <c r="Q4" s="2" t="n"/>
      <c r="R4" s="2" t="n"/>
      <c r="S4" s="2" t="n"/>
      <c r="T4" s="2" t="n"/>
      <c r="U4" s="42" t="n"/>
      <c r="V4" s="42" t="n"/>
      <c r="W4" s="2" t="n"/>
      <c r="X4" s="2" t="n"/>
      <c r="Y4" s="2" t="n"/>
      <c r="Z4" s="2" t="n"/>
      <c r="AA4" s="2" t="n"/>
      <c r="AB4" s="42" t="n"/>
      <c r="AC4" s="42" t="n"/>
      <c r="AD4" s="2" t="n"/>
      <c r="AE4" s="2" t="n"/>
      <c r="AF4" s="2" t="n"/>
      <c r="AG4" s="2" t="n"/>
      <c r="AH4" s="2" t="n"/>
      <c r="AI4" s="42" t="n"/>
      <c r="AJ4" s="42" t="n"/>
      <c r="AK4" s="41" t="n"/>
      <c r="AL4" s="41" t="n"/>
      <c r="AM4" s="41" t="n"/>
      <c r="AN4" s="41" t="n"/>
      <c r="AO4" s="41" t="n"/>
      <c r="AP4" s="42" t="n"/>
      <c r="AQ4" s="42" t="n"/>
      <c r="AR4" s="41" t="n"/>
      <c r="AS4" s="41" t="n"/>
      <c r="AT4" s="41" t="n"/>
      <c r="AU4" s="41" t="n"/>
      <c r="AV4" s="41" t="n"/>
      <c r="AW4" s="42" t="n"/>
      <c r="AX4" s="42" t="n"/>
      <c r="AY4" s="41" t="n"/>
      <c r="AZ4" s="41" t="n"/>
      <c r="BA4" s="41" t="n"/>
      <c r="BB4" s="41" t="n"/>
      <c r="BC4" s="42" t="n"/>
      <c r="BD4" s="42" t="n"/>
      <c r="BE4" s="42" t="n"/>
      <c r="BF4" s="41" t="n"/>
      <c r="BG4" s="41" t="n"/>
      <c r="BH4" s="41" t="n"/>
      <c r="BI4" s="41" t="n"/>
      <c r="BJ4" s="41" t="n"/>
      <c r="BK4" s="42" t="n"/>
      <c r="BL4" s="42" t="n"/>
      <c r="BM4" s="41" t="n"/>
      <c r="BN4" s="2" t="n"/>
      <c r="BO4" s="2" t="n"/>
      <c r="BP4" s="2" t="n"/>
      <c r="BQ4" s="2" t="n"/>
      <c r="BR4" s="42" t="n"/>
      <c r="BS4" s="42" t="n"/>
      <c r="BT4" s="2" t="n"/>
      <c r="BU4" s="2" t="n"/>
      <c r="BV4" s="2" t="n"/>
      <c r="BW4" s="2" t="n"/>
      <c r="BX4" s="2" t="n"/>
      <c r="BY4" s="42" t="n"/>
      <c r="BZ4" s="42" t="n"/>
      <c r="CA4" s="2" t="n"/>
      <c r="CB4" s="2" t="n"/>
      <c r="CC4" s="2" t="n"/>
      <c r="CD4" s="2" t="n"/>
      <c r="CE4" s="2" t="n"/>
      <c r="CF4" s="42" t="n"/>
      <c r="CG4" s="42" t="n"/>
      <c r="CH4" s="2" t="n"/>
      <c r="CI4" s="2" t="n"/>
      <c r="CJ4" s="2" t="n"/>
      <c r="CK4" s="2" t="n"/>
      <c r="CL4" s="2" t="n"/>
      <c r="CM4" s="42" t="n"/>
      <c r="CN4" s="42" t="n"/>
      <c r="CO4" s="2" t="n"/>
      <c r="CP4" s="2" t="n"/>
      <c r="CQ4" s="2" t="n"/>
      <c r="CR4" s="2" t="n"/>
      <c r="CS4" s="2" t="n"/>
      <c r="CT4" s="42" t="n"/>
      <c r="CU4" s="42" t="n"/>
      <c r="CV4" s="2" t="n"/>
      <c r="CW4" s="2" t="n"/>
      <c r="CX4" s="2" t="n"/>
      <c r="CY4" s="2" t="n"/>
      <c r="CZ4" s="2" t="n"/>
      <c r="DA4" s="42" t="n"/>
      <c r="DB4" s="42" t="n"/>
      <c r="DC4" s="2" t="n"/>
      <c r="DD4" s="2" t="n"/>
      <c r="DE4" s="2" t="n"/>
      <c r="DF4" s="2" t="n"/>
      <c r="DG4" s="2" t="n"/>
      <c r="DH4" s="42" t="n"/>
      <c r="DI4" s="42" t="n"/>
      <c r="DJ4" s="2" t="n"/>
      <c r="DK4" s="2" t="n"/>
      <c r="DL4" s="2" t="n"/>
      <c r="DM4" s="2" t="n"/>
      <c r="DN4" s="2" t="n"/>
      <c r="DO4" s="42" t="n"/>
      <c r="DP4" s="42" t="n"/>
      <c r="DQ4" s="2" t="n"/>
      <c r="DR4" s="2" t="n"/>
      <c r="DS4" s="2" t="n"/>
      <c r="DT4" s="2" t="n"/>
      <c r="DU4" s="2" t="n"/>
      <c r="DV4" s="42" t="n"/>
      <c r="DW4" s="42" t="n"/>
      <c r="DX4" s="2" t="n"/>
      <c r="DY4" s="2" t="n"/>
      <c r="DZ4" s="2" t="n"/>
      <c r="EA4" s="2" t="n"/>
      <c r="EB4" s="2" t="n"/>
      <c r="EC4" s="42" t="n"/>
      <c r="ED4" s="42" t="n"/>
      <c r="EE4" s="2" t="n"/>
      <c r="EF4" s="2" t="n"/>
      <c r="EG4" s="2" t="n"/>
      <c r="EH4" s="2" t="n"/>
      <c r="EI4" s="2" t="n"/>
      <c r="EJ4" s="42" t="n"/>
      <c r="EK4" s="42" t="n"/>
      <c r="EL4" s="2" t="n"/>
      <c r="EM4" s="2" t="n"/>
      <c r="EN4" s="2" t="n"/>
      <c r="EO4" s="2" t="n"/>
      <c r="EP4" s="2" t="n"/>
      <c r="EQ4" s="42" t="n"/>
      <c r="ER4" s="42" t="n"/>
      <c r="ES4" s="2" t="n"/>
      <c r="ET4" s="2" t="n"/>
      <c r="EU4" s="2" t="n"/>
      <c r="EV4" s="2" t="n"/>
      <c r="EW4" s="42" t="n"/>
      <c r="EX4" s="42" t="n"/>
      <c r="EY4" s="42" t="n"/>
      <c r="EZ4" s="2" t="n"/>
      <c r="FA4" s="2" t="n"/>
      <c r="FB4" s="2" t="n"/>
      <c r="FC4" s="42" t="n"/>
      <c r="FD4" s="42" t="n"/>
      <c r="FE4" s="42" t="n"/>
      <c r="FF4" s="42" t="n"/>
      <c r="FG4" s="42" t="n"/>
      <c r="FH4" s="42" t="n"/>
      <c r="FI4" s="42" t="n"/>
      <c r="FJ4" s="2" t="n"/>
      <c r="FK4" s="2" t="n"/>
      <c r="FL4" s="42" t="n"/>
      <c r="FM4" s="42" t="n"/>
      <c r="FN4" s="2" t="n"/>
      <c r="FO4" s="2" t="n"/>
      <c r="FP4" s="2" t="n"/>
      <c r="FQ4" s="2" t="n"/>
      <c r="FS4" s="50" t="n"/>
      <c r="FT4" s="50" t="n"/>
    </row>
    <row r="5">
      <c r="A5" s="2" t="inlineStr">
        <is>
          <t>MLE-3</t>
        </is>
      </c>
      <c r="B5" s="2" t="inlineStr">
        <is>
          <t>工程</t>
        </is>
      </c>
      <c r="C5" s="2" t="inlineStr">
        <is>
          <t>filtered dataframe 优化</t>
        </is>
      </c>
      <c r="D5" s="40" t="n">
        <v>46204</v>
      </c>
      <c r="E5" s="40" t="n">
        <v>46210</v>
      </c>
      <c r="F5" s="3" t="inlineStr">
        <is>
          <t>pending</t>
        </is>
      </c>
      <c r="G5" s="9" t="n">
        <v>0</v>
      </c>
      <c r="H5" s="2" t="n"/>
      <c r="I5" s="2" t="inlineStr">
        <is>
          <t>MLE-1/MLE-2</t>
        </is>
      </c>
      <c r="J5" s="2" t="inlineStr">
        <is>
          <t>无 chained indexing 风险</t>
        </is>
      </c>
      <c r="K5" s="2" t="n"/>
      <c r="L5" s="2" t="n"/>
      <c r="M5" s="2" t="n"/>
      <c r="N5" s="42" t="n"/>
      <c r="O5" s="42" t="n"/>
      <c r="P5" s="2" t="n"/>
      <c r="Q5" s="2" t="n"/>
      <c r="R5" s="2" t="n"/>
      <c r="S5" s="2" t="n"/>
      <c r="T5" s="2" t="n"/>
      <c r="U5" s="42" t="n"/>
      <c r="V5" s="42" t="n"/>
      <c r="W5" s="2" t="n"/>
      <c r="X5" s="2" t="n"/>
      <c r="Y5" s="2" t="n"/>
      <c r="Z5" s="2" t="n"/>
      <c r="AA5" s="2" t="n"/>
      <c r="AB5" s="42" t="n"/>
      <c r="AC5" s="42" t="n"/>
      <c r="AD5" s="2" t="n"/>
      <c r="AE5" s="2" t="n"/>
      <c r="AF5" s="2" t="n"/>
      <c r="AG5" s="2" t="n"/>
      <c r="AH5" s="2" t="n"/>
      <c r="AI5" s="42" t="n"/>
      <c r="AJ5" s="42" t="n"/>
      <c r="AK5" s="2" t="n"/>
      <c r="AL5" s="2" t="n"/>
      <c r="AM5" s="2" t="n"/>
      <c r="AN5" s="2" t="n"/>
      <c r="AO5" s="2" t="n"/>
      <c r="AP5" s="42" t="n"/>
      <c r="AQ5" s="42" t="n"/>
      <c r="AR5" s="2" t="n"/>
      <c r="AS5" s="2" t="n"/>
      <c r="AT5" s="2" t="n"/>
      <c r="AU5" s="2" t="n"/>
      <c r="AV5" s="2" t="n"/>
      <c r="AW5" s="42" t="n"/>
      <c r="AX5" s="42" t="n"/>
      <c r="AY5" s="2" t="n"/>
      <c r="AZ5" s="2" t="n"/>
      <c r="BA5" s="2" t="n"/>
      <c r="BB5" s="2" t="n"/>
      <c r="BC5" s="42" t="n"/>
      <c r="BD5" s="42" t="n"/>
      <c r="BE5" s="42" t="n"/>
      <c r="BF5" s="2" t="n"/>
      <c r="BG5" s="2" t="n"/>
      <c r="BH5" s="2" t="n"/>
      <c r="BI5" s="2" t="n"/>
      <c r="BJ5" s="2" t="n"/>
      <c r="BK5" s="42" t="n"/>
      <c r="BL5" s="42" t="n"/>
      <c r="BM5" s="2" t="n"/>
      <c r="BN5" s="2" t="n"/>
      <c r="BO5" s="41" t="n"/>
      <c r="BP5" s="41" t="n"/>
      <c r="BQ5" s="41" t="n"/>
      <c r="BR5" s="42" t="n"/>
      <c r="BS5" s="42" t="n"/>
      <c r="BT5" s="41" t="n"/>
      <c r="BU5" s="41" t="n"/>
      <c r="BV5" s="2" t="n"/>
      <c r="BW5" s="2" t="n"/>
      <c r="BX5" s="2" t="n"/>
      <c r="BY5" s="42" t="n"/>
      <c r="BZ5" s="42" t="n"/>
      <c r="CA5" s="2" t="n"/>
      <c r="CB5" s="2" t="n"/>
      <c r="CC5" s="2" t="n"/>
      <c r="CD5" s="2" t="n"/>
      <c r="CE5" s="2" t="n"/>
      <c r="CF5" s="42" t="n"/>
      <c r="CG5" s="42" t="n"/>
      <c r="CH5" s="2" t="n"/>
      <c r="CI5" s="2" t="n"/>
      <c r="CJ5" s="2" t="n"/>
      <c r="CK5" s="2" t="n"/>
      <c r="CL5" s="2" t="n"/>
      <c r="CM5" s="42" t="n"/>
      <c r="CN5" s="42" t="n"/>
      <c r="CO5" s="2" t="n"/>
      <c r="CP5" s="2" t="n"/>
      <c r="CQ5" s="2" t="n"/>
      <c r="CR5" s="2" t="n"/>
      <c r="CS5" s="2" t="n"/>
      <c r="CT5" s="42" t="n"/>
      <c r="CU5" s="42" t="n"/>
      <c r="CV5" s="2" t="n"/>
      <c r="CW5" s="2" t="n"/>
      <c r="CX5" s="2" t="n"/>
      <c r="CY5" s="2" t="n"/>
      <c r="CZ5" s="2" t="n"/>
      <c r="DA5" s="42" t="n"/>
      <c r="DB5" s="42" t="n"/>
      <c r="DC5" s="2" t="n"/>
      <c r="DD5" s="2" t="n"/>
      <c r="DE5" s="2" t="n"/>
      <c r="DF5" s="2" t="n"/>
      <c r="DG5" s="2" t="n"/>
      <c r="DH5" s="42" t="n"/>
      <c r="DI5" s="42" t="n"/>
      <c r="DJ5" s="2" t="n"/>
      <c r="DK5" s="2" t="n"/>
      <c r="DL5" s="2" t="n"/>
      <c r="DM5" s="2" t="n"/>
      <c r="DN5" s="2" t="n"/>
      <c r="DO5" s="42" t="n"/>
      <c r="DP5" s="42" t="n"/>
      <c r="DQ5" s="2" t="n"/>
      <c r="DR5" s="2" t="n"/>
      <c r="DS5" s="2" t="n"/>
      <c r="DT5" s="2" t="n"/>
      <c r="DU5" s="2" t="n"/>
      <c r="DV5" s="42" t="n"/>
      <c r="DW5" s="42" t="n"/>
      <c r="DX5" s="2" t="n"/>
      <c r="DY5" s="2" t="n"/>
      <c r="DZ5" s="2" t="n"/>
      <c r="EA5" s="2" t="n"/>
      <c r="EB5" s="2" t="n"/>
      <c r="EC5" s="42" t="n"/>
      <c r="ED5" s="42" t="n"/>
      <c r="EE5" s="2" t="n"/>
      <c r="EF5" s="2" t="n"/>
      <c r="EG5" s="2" t="n"/>
      <c r="EH5" s="2" t="n"/>
      <c r="EI5" s="2" t="n"/>
      <c r="EJ5" s="42" t="n"/>
      <c r="EK5" s="42" t="n"/>
      <c r="EL5" s="2" t="n"/>
      <c r="EM5" s="2" t="n"/>
      <c r="EN5" s="2" t="n"/>
      <c r="EO5" s="2" t="n"/>
      <c r="EP5" s="2" t="n"/>
      <c r="EQ5" s="42" t="n"/>
      <c r="ER5" s="42" t="n"/>
      <c r="ES5" s="2" t="n"/>
      <c r="ET5" s="2" t="n"/>
      <c r="EU5" s="2" t="n"/>
      <c r="EV5" s="2" t="n"/>
      <c r="EW5" s="42" t="n"/>
      <c r="EX5" s="42" t="n"/>
      <c r="EY5" s="42" t="n"/>
      <c r="EZ5" s="2" t="n"/>
      <c r="FA5" s="2" t="n"/>
      <c r="FB5" s="2" t="n"/>
      <c r="FC5" s="42" t="n"/>
      <c r="FD5" s="42" t="n"/>
      <c r="FE5" s="42" t="n"/>
      <c r="FF5" s="42" t="n"/>
      <c r="FG5" s="42" t="n"/>
      <c r="FH5" s="42" t="n"/>
      <c r="FI5" s="42" t="n"/>
      <c r="FJ5" s="2" t="n"/>
      <c r="FK5" s="2" t="n"/>
      <c r="FL5" s="42" t="n"/>
      <c r="FM5" s="42" t="n"/>
      <c r="FN5" s="2" t="n"/>
      <c r="FO5" s="2" t="n"/>
      <c r="FP5" s="2" t="n"/>
      <c r="FQ5" s="2" t="n"/>
      <c r="FS5" s="50" t="n"/>
      <c r="FT5" s="50" t="n"/>
    </row>
    <row r="6">
      <c r="A6" s="2" t="inlineStr">
        <is>
          <t>VAL-1</t>
        </is>
      </c>
      <c r="B6" s="2" t="inlineStr">
        <is>
          <t>校验</t>
        </is>
      </c>
      <c r="C6" s="2" t="inlineStr">
        <is>
          <t>输入数据校验</t>
        </is>
      </c>
      <c r="D6" s="40" t="n">
        <v>46204</v>
      </c>
      <c r="E6" s="40" t="n">
        <v>46210</v>
      </c>
      <c r="F6" s="3" t="inlineStr">
        <is>
          <t>pending</t>
        </is>
      </c>
      <c r="G6" s="9" t="n">
        <v>0</v>
      </c>
      <c r="H6" s="2" t="n"/>
      <c r="I6" s="2" t="inlineStr">
        <is>
          <t>P0</t>
        </is>
      </c>
      <c r="J6" s="2" t="inlineStr">
        <is>
          <t>bad data 可被准确拦截</t>
        </is>
      </c>
      <c r="K6" s="2" t="n"/>
      <c r="L6" s="2" t="n"/>
      <c r="M6" s="2" t="n"/>
      <c r="N6" s="42" t="n"/>
      <c r="O6" s="42" t="n"/>
      <c r="P6" s="2" t="n"/>
      <c r="Q6" s="2" t="n"/>
      <c r="R6" s="2" t="n"/>
      <c r="S6" s="2" t="n"/>
      <c r="T6" s="2" t="n"/>
      <c r="U6" s="42" t="n"/>
      <c r="V6" s="42" t="n"/>
      <c r="W6" s="2" t="n"/>
      <c r="X6" s="2" t="n"/>
      <c r="Y6" s="2" t="n"/>
      <c r="Z6" s="2" t="n"/>
      <c r="AA6" s="2" t="n"/>
      <c r="AB6" s="42" t="n"/>
      <c r="AC6" s="42" t="n"/>
      <c r="AD6" s="2" t="n"/>
      <c r="AE6" s="2" t="n"/>
      <c r="AF6" s="2" t="n"/>
      <c r="AG6" s="2" t="n"/>
      <c r="AH6" s="2" t="n"/>
      <c r="AI6" s="42" t="n"/>
      <c r="AJ6" s="42" t="n"/>
      <c r="AK6" s="2" t="n"/>
      <c r="AL6" s="2" t="n"/>
      <c r="AM6" s="2" t="n"/>
      <c r="AN6" s="2" t="n"/>
      <c r="AO6" s="2" t="n"/>
      <c r="AP6" s="42" t="n"/>
      <c r="AQ6" s="42" t="n"/>
      <c r="AR6" s="2" t="n"/>
      <c r="AS6" s="2" t="n"/>
      <c r="AT6" s="2" t="n"/>
      <c r="AU6" s="2" t="n"/>
      <c r="AV6" s="2" t="n"/>
      <c r="AW6" s="42" t="n"/>
      <c r="AX6" s="42" t="n"/>
      <c r="AY6" s="2" t="n"/>
      <c r="AZ6" s="2" t="n"/>
      <c r="BA6" s="2" t="n"/>
      <c r="BB6" s="2" t="n"/>
      <c r="BC6" s="42" t="n"/>
      <c r="BD6" s="42" t="n"/>
      <c r="BE6" s="42" t="n"/>
      <c r="BF6" s="2" t="n"/>
      <c r="BG6" s="2" t="n"/>
      <c r="BH6" s="2" t="n"/>
      <c r="BI6" s="2" t="n"/>
      <c r="BJ6" s="2" t="n"/>
      <c r="BK6" s="42" t="n"/>
      <c r="BL6" s="42" t="n"/>
      <c r="BM6" s="2" t="n"/>
      <c r="BN6" s="2" t="n"/>
      <c r="BO6" s="41" t="n"/>
      <c r="BP6" s="41" t="n"/>
      <c r="BQ6" s="41" t="n"/>
      <c r="BR6" s="42" t="n"/>
      <c r="BS6" s="42" t="n"/>
      <c r="BT6" s="41" t="n"/>
      <c r="BU6" s="41" t="n"/>
      <c r="BV6" s="2" t="n"/>
      <c r="BW6" s="2" t="n"/>
      <c r="BX6" s="2" t="n"/>
      <c r="BY6" s="42" t="n"/>
      <c r="BZ6" s="42" t="n"/>
      <c r="CA6" s="2" t="n"/>
      <c r="CB6" s="2" t="n"/>
      <c r="CC6" s="2" t="n"/>
      <c r="CD6" s="2" t="n"/>
      <c r="CE6" s="2" t="n"/>
      <c r="CF6" s="42" t="n"/>
      <c r="CG6" s="42" t="n"/>
      <c r="CH6" s="2" t="n"/>
      <c r="CI6" s="2" t="n"/>
      <c r="CJ6" s="2" t="n"/>
      <c r="CK6" s="2" t="n"/>
      <c r="CL6" s="2" t="n"/>
      <c r="CM6" s="42" t="n"/>
      <c r="CN6" s="42" t="n"/>
      <c r="CO6" s="2" t="n"/>
      <c r="CP6" s="2" t="n"/>
      <c r="CQ6" s="2" t="n"/>
      <c r="CR6" s="2" t="n"/>
      <c r="CS6" s="2" t="n"/>
      <c r="CT6" s="42" t="n"/>
      <c r="CU6" s="42" t="n"/>
      <c r="CV6" s="2" t="n"/>
      <c r="CW6" s="2" t="n"/>
      <c r="CX6" s="2" t="n"/>
      <c r="CY6" s="2" t="n"/>
      <c r="CZ6" s="2" t="n"/>
      <c r="DA6" s="42" t="n"/>
      <c r="DB6" s="42" t="n"/>
      <c r="DC6" s="2" t="n"/>
      <c r="DD6" s="2" t="n"/>
      <c r="DE6" s="2" t="n"/>
      <c r="DF6" s="2" t="n"/>
      <c r="DG6" s="2" t="n"/>
      <c r="DH6" s="42" t="n"/>
      <c r="DI6" s="42" t="n"/>
      <c r="DJ6" s="2" t="n"/>
      <c r="DK6" s="2" t="n"/>
      <c r="DL6" s="2" t="n"/>
      <c r="DM6" s="2" t="n"/>
      <c r="DN6" s="2" t="n"/>
      <c r="DO6" s="42" t="n"/>
      <c r="DP6" s="42" t="n"/>
      <c r="DQ6" s="2" t="n"/>
      <c r="DR6" s="2" t="n"/>
      <c r="DS6" s="2" t="n"/>
      <c r="DT6" s="2" t="n"/>
      <c r="DU6" s="2" t="n"/>
      <c r="DV6" s="42" t="n"/>
      <c r="DW6" s="42" t="n"/>
      <c r="DX6" s="2" t="n"/>
      <c r="DY6" s="2" t="n"/>
      <c r="DZ6" s="2" t="n"/>
      <c r="EA6" s="2" t="n"/>
      <c r="EB6" s="2" t="n"/>
      <c r="EC6" s="42" t="n"/>
      <c r="ED6" s="42" t="n"/>
      <c r="EE6" s="2" t="n"/>
      <c r="EF6" s="2" t="n"/>
      <c r="EG6" s="2" t="n"/>
      <c r="EH6" s="2" t="n"/>
      <c r="EI6" s="2" t="n"/>
      <c r="EJ6" s="42" t="n"/>
      <c r="EK6" s="42" t="n"/>
      <c r="EL6" s="2" t="n"/>
      <c r="EM6" s="2" t="n"/>
      <c r="EN6" s="2" t="n"/>
      <c r="EO6" s="2" t="n"/>
      <c r="EP6" s="2" t="n"/>
      <c r="EQ6" s="42" t="n"/>
      <c r="ER6" s="42" t="n"/>
      <c r="ES6" s="2" t="n"/>
      <c r="ET6" s="2" t="n"/>
      <c r="EU6" s="2" t="n"/>
      <c r="EV6" s="2" t="n"/>
      <c r="EW6" s="42" t="n"/>
      <c r="EX6" s="42" t="n"/>
      <c r="EY6" s="42" t="n"/>
      <c r="EZ6" s="2" t="n"/>
      <c r="FA6" s="2" t="n"/>
      <c r="FB6" s="2" t="n"/>
      <c r="FC6" s="42" t="n"/>
      <c r="FD6" s="42" t="n"/>
      <c r="FE6" s="42" t="n"/>
      <c r="FF6" s="42" t="n"/>
      <c r="FG6" s="42" t="n"/>
      <c r="FH6" s="42" t="n"/>
      <c r="FI6" s="42" t="n"/>
      <c r="FJ6" s="2" t="n"/>
      <c r="FK6" s="2" t="n"/>
      <c r="FL6" s="42" t="n"/>
      <c r="FM6" s="42" t="n"/>
      <c r="FN6" s="2" t="n"/>
      <c r="FO6" s="2" t="n"/>
      <c r="FP6" s="2" t="n"/>
      <c r="FQ6" s="2" t="n"/>
      <c r="FS6" s="50" t="n"/>
      <c r="FT6" s="50" t="n"/>
    </row>
    <row r="7">
      <c r="A7" s="2" t="inlineStr">
        <is>
          <t>MLE-4</t>
        </is>
      </c>
      <c r="B7" s="2" t="inlineStr">
        <is>
          <t>工程</t>
        </is>
      </c>
      <c r="C7" s="2" t="inlineStr">
        <is>
          <t>避免逐日 append</t>
        </is>
      </c>
      <c r="D7" s="40" t="n">
        <v>46219</v>
      </c>
      <c r="E7" s="40" t="n">
        <v>46225</v>
      </c>
      <c r="F7" s="3" t="inlineStr">
        <is>
          <t>pending</t>
        </is>
      </c>
      <c r="G7" s="9" t="n">
        <v>0</v>
      </c>
      <c r="H7" s="2" t="n"/>
      <c r="I7" s="2" t="inlineStr">
        <is>
          <t>MLE-3</t>
        </is>
      </c>
      <c r="J7" s="2" t="inlineStr">
        <is>
          <t>高频 append 清零或可解释</t>
        </is>
      </c>
      <c r="K7" s="2" t="n"/>
      <c r="L7" s="2" t="n"/>
      <c r="M7" s="2" t="n"/>
      <c r="N7" s="42" t="n"/>
      <c r="O7" s="42" t="n"/>
      <c r="P7" s="2" t="n"/>
      <c r="Q7" s="2" t="n"/>
      <c r="R7" s="2" t="n"/>
      <c r="S7" s="2" t="n"/>
      <c r="T7" s="2" t="n"/>
      <c r="U7" s="42" t="n"/>
      <c r="V7" s="42" t="n"/>
      <c r="W7" s="2" t="n"/>
      <c r="X7" s="2" t="n"/>
      <c r="Y7" s="2" t="n"/>
      <c r="Z7" s="2" t="n"/>
      <c r="AA7" s="2" t="n"/>
      <c r="AB7" s="42" t="n"/>
      <c r="AC7" s="42" t="n"/>
      <c r="AD7" s="2" t="n"/>
      <c r="AE7" s="2" t="n"/>
      <c r="AF7" s="2" t="n"/>
      <c r="AG7" s="2" t="n"/>
      <c r="AH7" s="2" t="n"/>
      <c r="AI7" s="42" t="n"/>
      <c r="AJ7" s="42" t="n"/>
      <c r="AK7" s="2" t="n"/>
      <c r="AL7" s="2" t="n"/>
      <c r="AM7" s="2" t="n"/>
      <c r="AN7" s="2" t="n"/>
      <c r="AO7" s="2" t="n"/>
      <c r="AP7" s="42" t="n"/>
      <c r="AQ7" s="42" t="n"/>
      <c r="AR7" s="2" t="n"/>
      <c r="AS7" s="2" t="n"/>
      <c r="AT7" s="2" t="n"/>
      <c r="AU7" s="2" t="n"/>
      <c r="AV7" s="2" t="n"/>
      <c r="AW7" s="42" t="n"/>
      <c r="AX7" s="42" t="n"/>
      <c r="AY7" s="2" t="n"/>
      <c r="AZ7" s="2" t="n"/>
      <c r="BA7" s="2" t="n"/>
      <c r="BB7" s="2" t="n"/>
      <c r="BC7" s="42" t="n"/>
      <c r="BD7" s="42" t="n"/>
      <c r="BE7" s="42" t="n"/>
      <c r="BF7" s="2" t="n"/>
      <c r="BG7" s="2" t="n"/>
      <c r="BH7" s="2" t="n"/>
      <c r="BI7" s="2" t="n"/>
      <c r="BJ7" s="2" t="n"/>
      <c r="BK7" s="42" t="n"/>
      <c r="BL7" s="42" t="n"/>
      <c r="BM7" s="2" t="n"/>
      <c r="BN7" s="2" t="n"/>
      <c r="BO7" s="2" t="n"/>
      <c r="BP7" s="2" t="n"/>
      <c r="BQ7" s="2" t="n"/>
      <c r="BR7" s="42" t="n"/>
      <c r="BS7" s="42" t="n"/>
      <c r="BT7" s="2" t="n"/>
      <c r="BU7" s="2" t="n"/>
      <c r="BV7" s="2" t="n"/>
      <c r="BW7" s="2" t="n"/>
      <c r="BX7" s="2" t="n"/>
      <c r="BY7" s="42" t="n"/>
      <c r="BZ7" s="42" t="n"/>
      <c r="CA7" s="2" t="n"/>
      <c r="CB7" s="2" t="n"/>
      <c r="CC7" s="2" t="n"/>
      <c r="CD7" s="41" t="n"/>
      <c r="CE7" s="41" t="n"/>
      <c r="CF7" s="42" t="n"/>
      <c r="CG7" s="42" t="n"/>
      <c r="CH7" s="41" t="n"/>
      <c r="CI7" s="41" t="n"/>
      <c r="CJ7" s="41" t="n"/>
      <c r="CK7" s="2" t="n"/>
      <c r="CL7" s="2" t="n"/>
      <c r="CM7" s="42" t="n"/>
      <c r="CN7" s="42" t="n"/>
      <c r="CO7" s="2" t="n"/>
      <c r="CP7" s="2" t="n"/>
      <c r="CQ7" s="2" t="n"/>
      <c r="CR7" s="2" t="n"/>
      <c r="CS7" s="2" t="n"/>
      <c r="CT7" s="42" t="n"/>
      <c r="CU7" s="42" t="n"/>
      <c r="CV7" s="2" t="n"/>
      <c r="CW7" s="2" t="n"/>
      <c r="CX7" s="2" t="n"/>
      <c r="CY7" s="2" t="n"/>
      <c r="CZ7" s="2" t="n"/>
      <c r="DA7" s="42" t="n"/>
      <c r="DB7" s="42" t="n"/>
      <c r="DC7" s="2" t="n"/>
      <c r="DD7" s="2" t="n"/>
      <c r="DE7" s="2" t="n"/>
      <c r="DF7" s="2" t="n"/>
      <c r="DG7" s="2" t="n"/>
      <c r="DH7" s="42" t="n"/>
      <c r="DI7" s="42" t="n"/>
      <c r="DJ7" s="2" t="n"/>
      <c r="DK7" s="2" t="n"/>
      <c r="DL7" s="2" t="n"/>
      <c r="DM7" s="2" t="n"/>
      <c r="DN7" s="2" t="n"/>
      <c r="DO7" s="42" t="n"/>
      <c r="DP7" s="42" t="n"/>
      <c r="DQ7" s="2" t="n"/>
      <c r="DR7" s="2" t="n"/>
      <c r="DS7" s="2" t="n"/>
      <c r="DT7" s="2" t="n"/>
      <c r="DU7" s="2" t="n"/>
      <c r="DV7" s="42" t="n"/>
      <c r="DW7" s="42" t="n"/>
      <c r="DX7" s="2" t="n"/>
      <c r="DY7" s="2" t="n"/>
      <c r="DZ7" s="2" t="n"/>
      <c r="EA7" s="2" t="n"/>
      <c r="EB7" s="2" t="n"/>
      <c r="EC7" s="42" t="n"/>
      <c r="ED7" s="42" t="n"/>
      <c r="EE7" s="2" t="n"/>
      <c r="EF7" s="2" t="n"/>
      <c r="EG7" s="2" t="n"/>
      <c r="EH7" s="2" t="n"/>
      <c r="EI7" s="2" t="n"/>
      <c r="EJ7" s="42" t="n"/>
      <c r="EK7" s="42" t="n"/>
      <c r="EL7" s="2" t="n"/>
      <c r="EM7" s="2" t="n"/>
      <c r="EN7" s="2" t="n"/>
      <c r="EO7" s="2" t="n"/>
      <c r="EP7" s="2" t="n"/>
      <c r="EQ7" s="42" t="n"/>
      <c r="ER7" s="42" t="n"/>
      <c r="ES7" s="2" t="n"/>
      <c r="ET7" s="2" t="n"/>
      <c r="EU7" s="2" t="n"/>
      <c r="EV7" s="2" t="n"/>
      <c r="EW7" s="42" t="n"/>
      <c r="EX7" s="42" t="n"/>
      <c r="EY7" s="42" t="n"/>
      <c r="EZ7" s="2" t="n"/>
      <c r="FA7" s="2" t="n"/>
      <c r="FB7" s="2" t="n"/>
      <c r="FC7" s="42" t="n"/>
      <c r="FD7" s="42" t="n"/>
      <c r="FE7" s="42" t="n"/>
      <c r="FF7" s="42" t="n"/>
      <c r="FG7" s="42" t="n"/>
      <c r="FH7" s="42" t="n"/>
      <c r="FI7" s="42" t="n"/>
      <c r="FJ7" s="2" t="n"/>
      <c r="FK7" s="2" t="n"/>
      <c r="FL7" s="42" t="n"/>
      <c r="FM7" s="42" t="n"/>
      <c r="FN7" s="2" t="n"/>
      <c r="FO7" s="2" t="n"/>
      <c r="FP7" s="2" t="n"/>
      <c r="FQ7" s="2" t="n"/>
      <c r="FS7" s="50" t="n"/>
      <c r="FT7" s="50" t="n"/>
    </row>
    <row r="8">
      <c r="A8" s="2" t="inlineStr">
        <is>
          <t>VAL-2</t>
        </is>
      </c>
      <c r="B8" s="2" t="inlineStr">
        <is>
          <t>校验</t>
        </is>
      </c>
      <c r="C8" s="2" t="inlineStr">
        <is>
          <t>中间数据校验</t>
        </is>
      </c>
      <c r="D8" s="40" t="n">
        <v>46219</v>
      </c>
      <c r="E8" s="40" t="n">
        <v>46225</v>
      </c>
      <c r="F8" s="3" t="inlineStr">
        <is>
          <t>pending</t>
        </is>
      </c>
      <c r="G8" s="9" t="n">
        <v>0</v>
      </c>
      <c r="H8" s="2" t="n"/>
      <c r="I8" s="2" t="inlineStr">
        <is>
          <t>VAL-1</t>
        </is>
      </c>
      <c r="J8" s="2" t="inlineStr">
        <is>
          <t>每日中间表校验报告</t>
        </is>
      </c>
      <c r="K8" s="2" t="n"/>
      <c r="L8" s="2" t="n"/>
      <c r="M8" s="2" t="n"/>
      <c r="N8" s="42" t="n"/>
      <c r="O8" s="42" t="n"/>
      <c r="P8" s="2" t="n"/>
      <c r="Q8" s="2" t="n"/>
      <c r="R8" s="2" t="n"/>
      <c r="S8" s="2" t="n"/>
      <c r="T8" s="2" t="n"/>
      <c r="U8" s="42" t="n"/>
      <c r="V8" s="42" t="n"/>
      <c r="W8" s="2" t="n"/>
      <c r="X8" s="2" t="n"/>
      <c r="Y8" s="2" t="n"/>
      <c r="Z8" s="2" t="n"/>
      <c r="AA8" s="2" t="n"/>
      <c r="AB8" s="42" t="n"/>
      <c r="AC8" s="42" t="n"/>
      <c r="AD8" s="2" t="n"/>
      <c r="AE8" s="2" t="n"/>
      <c r="AF8" s="2" t="n"/>
      <c r="AG8" s="2" t="n"/>
      <c r="AH8" s="2" t="n"/>
      <c r="AI8" s="42" t="n"/>
      <c r="AJ8" s="42" t="n"/>
      <c r="AK8" s="2" t="n"/>
      <c r="AL8" s="2" t="n"/>
      <c r="AM8" s="2" t="n"/>
      <c r="AN8" s="2" t="n"/>
      <c r="AO8" s="2" t="n"/>
      <c r="AP8" s="42" t="n"/>
      <c r="AQ8" s="42" t="n"/>
      <c r="AR8" s="2" t="n"/>
      <c r="AS8" s="2" t="n"/>
      <c r="AT8" s="2" t="n"/>
      <c r="AU8" s="2" t="n"/>
      <c r="AV8" s="2" t="n"/>
      <c r="AW8" s="42" t="n"/>
      <c r="AX8" s="42" t="n"/>
      <c r="AY8" s="2" t="n"/>
      <c r="AZ8" s="2" t="n"/>
      <c r="BA8" s="2" t="n"/>
      <c r="BB8" s="2" t="n"/>
      <c r="BC8" s="42" t="n"/>
      <c r="BD8" s="42" t="n"/>
      <c r="BE8" s="42" t="n"/>
      <c r="BF8" s="2" t="n"/>
      <c r="BG8" s="2" t="n"/>
      <c r="BH8" s="2" t="n"/>
      <c r="BI8" s="2" t="n"/>
      <c r="BJ8" s="2" t="n"/>
      <c r="BK8" s="42" t="n"/>
      <c r="BL8" s="42" t="n"/>
      <c r="BM8" s="2" t="n"/>
      <c r="BN8" s="2" t="n"/>
      <c r="BO8" s="2" t="n"/>
      <c r="BP8" s="2" t="n"/>
      <c r="BQ8" s="2" t="n"/>
      <c r="BR8" s="42" t="n"/>
      <c r="BS8" s="42" t="n"/>
      <c r="BT8" s="2" t="n"/>
      <c r="BU8" s="2" t="n"/>
      <c r="BV8" s="2" t="n"/>
      <c r="BW8" s="2" t="n"/>
      <c r="BX8" s="2" t="n"/>
      <c r="BY8" s="42" t="n"/>
      <c r="BZ8" s="42" t="n"/>
      <c r="CA8" s="2" t="n"/>
      <c r="CB8" s="2" t="n"/>
      <c r="CC8" s="2" t="n"/>
      <c r="CD8" s="41" t="n"/>
      <c r="CE8" s="41" t="n"/>
      <c r="CF8" s="42" t="n"/>
      <c r="CG8" s="42" t="n"/>
      <c r="CH8" s="41" t="n"/>
      <c r="CI8" s="41" t="n"/>
      <c r="CJ8" s="41" t="n"/>
      <c r="CK8" s="2" t="n"/>
      <c r="CL8" s="2" t="n"/>
      <c r="CM8" s="42" t="n"/>
      <c r="CN8" s="42" t="n"/>
      <c r="CO8" s="2" t="n"/>
      <c r="CP8" s="2" t="n"/>
      <c r="CQ8" s="2" t="n"/>
      <c r="CR8" s="2" t="n"/>
      <c r="CS8" s="2" t="n"/>
      <c r="CT8" s="42" t="n"/>
      <c r="CU8" s="42" t="n"/>
      <c r="CV8" s="2" t="n"/>
      <c r="CW8" s="2" t="n"/>
      <c r="CX8" s="2" t="n"/>
      <c r="CY8" s="2" t="n"/>
      <c r="CZ8" s="2" t="n"/>
      <c r="DA8" s="42" t="n"/>
      <c r="DB8" s="42" t="n"/>
      <c r="DC8" s="2" t="n"/>
      <c r="DD8" s="2" t="n"/>
      <c r="DE8" s="2" t="n"/>
      <c r="DF8" s="2" t="n"/>
      <c r="DG8" s="2" t="n"/>
      <c r="DH8" s="42" t="n"/>
      <c r="DI8" s="42" t="n"/>
      <c r="DJ8" s="2" t="n"/>
      <c r="DK8" s="2" t="n"/>
      <c r="DL8" s="2" t="n"/>
      <c r="DM8" s="2" t="n"/>
      <c r="DN8" s="2" t="n"/>
      <c r="DO8" s="42" t="n"/>
      <c r="DP8" s="42" t="n"/>
      <c r="DQ8" s="2" t="n"/>
      <c r="DR8" s="2" t="n"/>
      <c r="DS8" s="2" t="n"/>
      <c r="DT8" s="2" t="n"/>
      <c r="DU8" s="2" t="n"/>
      <c r="DV8" s="42" t="n"/>
      <c r="DW8" s="42" t="n"/>
      <c r="DX8" s="2" t="n"/>
      <c r="DY8" s="2" t="n"/>
      <c r="DZ8" s="2" t="n"/>
      <c r="EA8" s="2" t="n"/>
      <c r="EB8" s="2" t="n"/>
      <c r="EC8" s="42" t="n"/>
      <c r="ED8" s="42" t="n"/>
      <c r="EE8" s="2" t="n"/>
      <c r="EF8" s="2" t="n"/>
      <c r="EG8" s="2" t="n"/>
      <c r="EH8" s="2" t="n"/>
      <c r="EI8" s="2" t="n"/>
      <c r="EJ8" s="42" t="n"/>
      <c r="EK8" s="42" t="n"/>
      <c r="EL8" s="2" t="n"/>
      <c r="EM8" s="2" t="n"/>
      <c r="EN8" s="2" t="n"/>
      <c r="EO8" s="2" t="n"/>
      <c r="EP8" s="2" t="n"/>
      <c r="EQ8" s="42" t="n"/>
      <c r="ER8" s="42" t="n"/>
      <c r="ES8" s="2" t="n"/>
      <c r="ET8" s="2" t="n"/>
      <c r="EU8" s="2" t="n"/>
      <c r="EV8" s="2" t="n"/>
      <c r="EW8" s="42" t="n"/>
      <c r="EX8" s="42" t="n"/>
      <c r="EY8" s="42" t="n"/>
      <c r="EZ8" s="2" t="n"/>
      <c r="FA8" s="2" t="n"/>
      <c r="FB8" s="2" t="n"/>
      <c r="FC8" s="42" t="n"/>
      <c r="FD8" s="42" t="n"/>
      <c r="FE8" s="42" t="n"/>
      <c r="FF8" s="42" t="n"/>
      <c r="FG8" s="42" t="n"/>
      <c r="FH8" s="42" t="n"/>
      <c r="FI8" s="42" t="n"/>
      <c r="FJ8" s="2" t="n"/>
      <c r="FK8" s="2" t="n"/>
      <c r="FL8" s="42" t="n"/>
      <c r="FM8" s="42" t="n"/>
      <c r="FN8" s="2" t="n"/>
      <c r="FO8" s="2" t="n"/>
      <c r="FP8" s="2" t="n"/>
      <c r="FQ8" s="2" t="n"/>
      <c r="FS8" s="50" t="n"/>
      <c r="FT8" s="50" t="n"/>
    </row>
    <row r="9">
      <c r="A9" s="2" t="inlineStr">
        <is>
          <t>TEST-1</t>
        </is>
      </c>
      <c r="B9" s="2" t="inlineStr">
        <is>
          <t>测试</t>
        </is>
      </c>
      <c r="C9" s="2" t="inlineStr">
        <is>
          <t>E2E 网络构建</t>
        </is>
      </c>
      <c r="D9" s="40" t="n">
        <v>46237</v>
      </c>
      <c r="E9" s="40" t="n">
        <v>46248</v>
      </c>
      <c r="F9" s="3" t="inlineStr">
        <is>
          <t>pending</t>
        </is>
      </c>
      <c r="G9" s="9" t="n">
        <v>0</v>
      </c>
      <c r="H9" s="2" t="n"/>
      <c r="I9" s="2" t="inlineStr">
        <is>
          <t>MLE/VAL</t>
        </is>
      </c>
      <c r="J9" s="2" t="inlineStr">
        <is>
          <t>30 天 E2E 成功跑通</t>
        </is>
      </c>
      <c r="K9" s="2" t="n"/>
      <c r="L9" s="2" t="n"/>
      <c r="M9" s="2" t="n"/>
      <c r="N9" s="42" t="n"/>
      <c r="O9" s="42" t="n"/>
      <c r="P9" s="2" t="n"/>
      <c r="Q9" s="2" t="n"/>
      <c r="R9" s="2" t="n"/>
      <c r="S9" s="2" t="n"/>
      <c r="T9" s="2" t="n"/>
      <c r="U9" s="42" t="n"/>
      <c r="V9" s="42" t="n"/>
      <c r="W9" s="2" t="n"/>
      <c r="X9" s="2" t="n"/>
      <c r="Y9" s="2" t="n"/>
      <c r="Z9" s="2" t="n"/>
      <c r="AA9" s="2" t="n"/>
      <c r="AB9" s="42" t="n"/>
      <c r="AC9" s="42" t="n"/>
      <c r="AD9" s="2" t="n"/>
      <c r="AE9" s="2" t="n"/>
      <c r="AF9" s="2" t="n"/>
      <c r="AG9" s="2" t="n"/>
      <c r="AH9" s="2" t="n"/>
      <c r="AI9" s="42" t="n"/>
      <c r="AJ9" s="42" t="n"/>
      <c r="AK9" s="2" t="n"/>
      <c r="AL9" s="2" t="n"/>
      <c r="AM9" s="2" t="n"/>
      <c r="AN9" s="2" t="n"/>
      <c r="AO9" s="2" t="n"/>
      <c r="AP9" s="42" t="n"/>
      <c r="AQ9" s="42" t="n"/>
      <c r="AR9" s="2" t="n"/>
      <c r="AS9" s="2" t="n"/>
      <c r="AT9" s="2" t="n"/>
      <c r="AU9" s="2" t="n"/>
      <c r="AV9" s="2" t="n"/>
      <c r="AW9" s="42" t="n"/>
      <c r="AX9" s="42" t="n"/>
      <c r="AY9" s="2" t="n"/>
      <c r="AZ9" s="2" t="n"/>
      <c r="BA9" s="2" t="n"/>
      <c r="BB9" s="2" t="n"/>
      <c r="BC9" s="42" t="n"/>
      <c r="BD9" s="42" t="n"/>
      <c r="BE9" s="42" t="n"/>
      <c r="BF9" s="2" t="n"/>
      <c r="BG9" s="2" t="n"/>
      <c r="BH9" s="2" t="n"/>
      <c r="BI9" s="2" t="n"/>
      <c r="BJ9" s="2" t="n"/>
      <c r="BK9" s="42" t="n"/>
      <c r="BL9" s="42" t="n"/>
      <c r="BM9" s="2" t="n"/>
      <c r="BN9" s="2" t="n"/>
      <c r="BO9" s="2" t="n"/>
      <c r="BP9" s="2" t="n"/>
      <c r="BQ9" s="2" t="n"/>
      <c r="BR9" s="42" t="n"/>
      <c r="BS9" s="42" t="n"/>
      <c r="BT9" s="2" t="n"/>
      <c r="BU9" s="2" t="n"/>
      <c r="BV9" s="2" t="n"/>
      <c r="BW9" s="2" t="n"/>
      <c r="BX9" s="2" t="n"/>
      <c r="BY9" s="42" t="n"/>
      <c r="BZ9" s="42" t="n"/>
      <c r="CA9" s="2" t="n"/>
      <c r="CB9" s="2" t="n"/>
      <c r="CC9" s="2" t="n"/>
      <c r="CD9" s="2" t="n"/>
      <c r="CE9" s="2" t="n"/>
      <c r="CF9" s="42" t="n"/>
      <c r="CG9" s="42" t="n"/>
      <c r="CH9" s="2" t="n"/>
      <c r="CI9" s="2" t="n"/>
      <c r="CJ9" s="2" t="n"/>
      <c r="CK9" s="2" t="n"/>
      <c r="CL9" s="2" t="n"/>
      <c r="CM9" s="42" t="n"/>
      <c r="CN9" s="42" t="n"/>
      <c r="CO9" s="2" t="n"/>
      <c r="CP9" s="2" t="n"/>
      <c r="CQ9" s="2" t="n"/>
      <c r="CR9" s="2" t="n"/>
      <c r="CS9" s="2" t="n"/>
      <c r="CT9" s="42" t="n"/>
      <c r="CU9" s="42" t="n"/>
      <c r="CV9" s="41" t="n"/>
      <c r="CW9" s="41" t="n"/>
      <c r="CX9" s="41" t="n"/>
      <c r="CY9" s="41" t="n"/>
      <c r="CZ9" s="41" t="n"/>
      <c r="DA9" s="42" t="n"/>
      <c r="DB9" s="42" t="n"/>
      <c r="DC9" s="41" t="n"/>
      <c r="DD9" s="41" t="n"/>
      <c r="DE9" s="41" t="n"/>
      <c r="DF9" s="41" t="n"/>
      <c r="DG9" s="41" t="n"/>
      <c r="DH9" s="42" t="n"/>
      <c r="DI9" s="42" t="n"/>
      <c r="DJ9" s="2" t="n"/>
      <c r="DK9" s="2" t="n"/>
      <c r="DL9" s="2" t="n"/>
      <c r="DM9" s="2" t="n"/>
      <c r="DN9" s="2" t="n"/>
      <c r="DO9" s="42" t="n"/>
      <c r="DP9" s="42" t="n"/>
      <c r="DQ9" s="2" t="n"/>
      <c r="DR9" s="2" t="n"/>
      <c r="DS9" s="2" t="n"/>
      <c r="DT9" s="2" t="n"/>
      <c r="DU9" s="2" t="n"/>
      <c r="DV9" s="42" t="n"/>
      <c r="DW9" s="42" t="n"/>
      <c r="DX9" s="2" t="n"/>
      <c r="DY9" s="2" t="n"/>
      <c r="DZ9" s="2" t="n"/>
      <c r="EA9" s="2" t="n"/>
      <c r="EB9" s="2" t="n"/>
      <c r="EC9" s="42" t="n"/>
      <c r="ED9" s="42" t="n"/>
      <c r="EE9" s="2" t="n"/>
      <c r="EF9" s="2" t="n"/>
      <c r="EG9" s="2" t="n"/>
      <c r="EH9" s="2" t="n"/>
      <c r="EI9" s="2" t="n"/>
      <c r="EJ9" s="42" t="n"/>
      <c r="EK9" s="42" t="n"/>
      <c r="EL9" s="2" t="n"/>
      <c r="EM9" s="2" t="n"/>
      <c r="EN9" s="2" t="n"/>
      <c r="EO9" s="2" t="n"/>
      <c r="EP9" s="2" t="n"/>
      <c r="EQ9" s="42" t="n"/>
      <c r="ER9" s="42" t="n"/>
      <c r="ES9" s="2" t="n"/>
      <c r="ET9" s="2" t="n"/>
      <c r="EU9" s="2" t="n"/>
      <c r="EV9" s="2" t="n"/>
      <c r="EW9" s="42" t="n"/>
      <c r="EX9" s="42" t="n"/>
      <c r="EY9" s="42" t="n"/>
      <c r="EZ9" s="2" t="n"/>
      <c r="FA9" s="2" t="n"/>
      <c r="FB9" s="2" t="n"/>
      <c r="FC9" s="42" t="n"/>
      <c r="FD9" s="42" t="n"/>
      <c r="FE9" s="42" t="n"/>
      <c r="FF9" s="42" t="n"/>
      <c r="FG9" s="42" t="n"/>
      <c r="FH9" s="42" t="n"/>
      <c r="FI9" s="42" t="n"/>
      <c r="FJ9" s="2" t="n"/>
      <c r="FK9" s="2" t="n"/>
      <c r="FL9" s="42" t="n"/>
      <c r="FM9" s="42" t="n"/>
      <c r="FN9" s="2" t="n"/>
      <c r="FO9" s="2" t="n"/>
      <c r="FP9" s="2" t="n"/>
      <c r="FQ9" s="2" t="n"/>
      <c r="FS9" s="50" t="n"/>
      <c r="FT9" s="50" t="n"/>
    </row>
    <row r="10">
      <c r="A10" s="2" t="inlineStr">
        <is>
          <t>DOC-2</t>
        </is>
      </c>
      <c r="B10" s="2" t="inlineStr">
        <is>
          <t>文档</t>
        </is>
      </c>
      <c r="C10" s="2" t="inlineStr">
        <is>
          <t>历史回测文档</t>
        </is>
      </c>
      <c r="D10" s="40" t="n">
        <v>46251</v>
      </c>
      <c r="E10" s="40" t="n">
        <v>46262</v>
      </c>
      <c r="F10" s="3" t="inlineStr">
        <is>
          <t>pending</t>
        </is>
      </c>
      <c r="G10" s="9" t="n">
        <v>0</v>
      </c>
      <c r="H10" s="2" t="n"/>
      <c r="I10" s="2" t="inlineStr">
        <is>
          <t>TEST-1</t>
        </is>
      </c>
      <c r="J10" s="2" t="inlineStr">
        <is>
          <t>simulated vs actual KPI 报告</t>
        </is>
      </c>
      <c r="K10" s="2" t="n"/>
      <c r="L10" s="2" t="n"/>
      <c r="M10" s="2" t="n"/>
      <c r="N10" s="42" t="n"/>
      <c r="O10" s="42" t="n"/>
      <c r="P10" s="2" t="n"/>
      <c r="Q10" s="2" t="n"/>
      <c r="R10" s="2" t="n"/>
      <c r="S10" s="2" t="n"/>
      <c r="T10" s="2" t="n"/>
      <c r="U10" s="42" t="n"/>
      <c r="V10" s="42" t="n"/>
      <c r="W10" s="2" t="n"/>
      <c r="X10" s="2" t="n"/>
      <c r="Y10" s="2" t="n"/>
      <c r="Z10" s="2" t="n"/>
      <c r="AA10" s="2" t="n"/>
      <c r="AB10" s="42" t="n"/>
      <c r="AC10" s="42" t="n"/>
      <c r="AD10" s="2" t="n"/>
      <c r="AE10" s="2" t="n"/>
      <c r="AF10" s="2" t="n"/>
      <c r="AG10" s="2" t="n"/>
      <c r="AH10" s="2" t="n"/>
      <c r="AI10" s="42" t="n"/>
      <c r="AJ10" s="42" t="n"/>
      <c r="AK10" s="2" t="n"/>
      <c r="AL10" s="2" t="n"/>
      <c r="AM10" s="2" t="n"/>
      <c r="AN10" s="2" t="n"/>
      <c r="AO10" s="2" t="n"/>
      <c r="AP10" s="42" t="n"/>
      <c r="AQ10" s="42" t="n"/>
      <c r="AR10" s="2" t="n"/>
      <c r="AS10" s="2" t="n"/>
      <c r="AT10" s="2" t="n"/>
      <c r="AU10" s="2" t="n"/>
      <c r="AV10" s="2" t="n"/>
      <c r="AW10" s="42" t="n"/>
      <c r="AX10" s="42" t="n"/>
      <c r="AY10" s="2" t="n"/>
      <c r="AZ10" s="2" t="n"/>
      <c r="BA10" s="2" t="n"/>
      <c r="BB10" s="2" t="n"/>
      <c r="BC10" s="42" t="n"/>
      <c r="BD10" s="42" t="n"/>
      <c r="BE10" s="42" t="n"/>
      <c r="BF10" s="2" t="n"/>
      <c r="BG10" s="2" t="n"/>
      <c r="BH10" s="2" t="n"/>
      <c r="BI10" s="2" t="n"/>
      <c r="BJ10" s="2" t="n"/>
      <c r="BK10" s="42" t="n"/>
      <c r="BL10" s="42" t="n"/>
      <c r="BM10" s="2" t="n"/>
      <c r="BN10" s="2" t="n"/>
      <c r="BO10" s="2" t="n"/>
      <c r="BP10" s="2" t="n"/>
      <c r="BQ10" s="2" t="n"/>
      <c r="BR10" s="42" t="n"/>
      <c r="BS10" s="42" t="n"/>
      <c r="BT10" s="2" t="n"/>
      <c r="BU10" s="2" t="n"/>
      <c r="BV10" s="2" t="n"/>
      <c r="BW10" s="2" t="n"/>
      <c r="BX10" s="2" t="n"/>
      <c r="BY10" s="42" t="n"/>
      <c r="BZ10" s="42" t="n"/>
      <c r="CA10" s="2" t="n"/>
      <c r="CB10" s="2" t="n"/>
      <c r="CC10" s="2" t="n"/>
      <c r="CD10" s="2" t="n"/>
      <c r="CE10" s="2" t="n"/>
      <c r="CF10" s="42" t="n"/>
      <c r="CG10" s="42" t="n"/>
      <c r="CH10" s="2" t="n"/>
      <c r="CI10" s="2" t="n"/>
      <c r="CJ10" s="2" t="n"/>
      <c r="CK10" s="2" t="n"/>
      <c r="CL10" s="2" t="n"/>
      <c r="CM10" s="42" t="n"/>
      <c r="CN10" s="42" t="n"/>
      <c r="CO10" s="2" t="n"/>
      <c r="CP10" s="2" t="n"/>
      <c r="CQ10" s="2" t="n"/>
      <c r="CR10" s="2" t="n"/>
      <c r="CS10" s="2" t="n"/>
      <c r="CT10" s="42" t="n"/>
      <c r="CU10" s="42" t="n"/>
      <c r="CV10" s="2" t="n"/>
      <c r="CW10" s="2" t="n"/>
      <c r="CX10" s="2" t="n"/>
      <c r="CY10" s="2" t="n"/>
      <c r="CZ10" s="2" t="n"/>
      <c r="DA10" s="42" t="n"/>
      <c r="DB10" s="42" t="n"/>
      <c r="DC10" s="2" t="n"/>
      <c r="DD10" s="2" t="n"/>
      <c r="DE10" s="2" t="n"/>
      <c r="DF10" s="2" t="n"/>
      <c r="DG10" s="2" t="n"/>
      <c r="DH10" s="42" t="n"/>
      <c r="DI10" s="42" t="n"/>
      <c r="DJ10" s="41" t="n"/>
      <c r="DK10" s="41" t="n"/>
      <c r="DL10" s="41" t="n"/>
      <c r="DM10" s="41" t="n"/>
      <c r="DN10" s="41" t="n"/>
      <c r="DO10" s="42" t="n"/>
      <c r="DP10" s="42" t="n"/>
      <c r="DQ10" s="41" t="n"/>
      <c r="DR10" s="41" t="n"/>
      <c r="DS10" s="41" t="n"/>
      <c r="DT10" s="41" t="n"/>
      <c r="DU10" s="41" t="n"/>
      <c r="DV10" s="42" t="n"/>
      <c r="DW10" s="42" t="n"/>
      <c r="DX10" s="2" t="n"/>
      <c r="DY10" s="2" t="n"/>
      <c r="DZ10" s="2" t="n"/>
      <c r="EA10" s="2" t="n"/>
      <c r="EB10" s="2" t="n"/>
      <c r="EC10" s="42" t="n"/>
      <c r="ED10" s="42" t="n"/>
      <c r="EE10" s="2" t="n"/>
      <c r="EF10" s="2" t="n"/>
      <c r="EG10" s="2" t="n"/>
      <c r="EH10" s="2" t="n"/>
      <c r="EI10" s="2" t="n"/>
      <c r="EJ10" s="42" t="n"/>
      <c r="EK10" s="42" t="n"/>
      <c r="EL10" s="2" t="n"/>
      <c r="EM10" s="2" t="n"/>
      <c r="EN10" s="2" t="n"/>
      <c r="EO10" s="2" t="n"/>
      <c r="EP10" s="2" t="n"/>
      <c r="EQ10" s="42" t="n"/>
      <c r="ER10" s="42" t="n"/>
      <c r="ES10" s="2" t="n"/>
      <c r="ET10" s="2" t="n"/>
      <c r="EU10" s="2" t="n"/>
      <c r="EV10" s="2" t="n"/>
      <c r="EW10" s="42" t="n"/>
      <c r="EX10" s="42" t="n"/>
      <c r="EY10" s="42" t="n"/>
      <c r="EZ10" s="2" t="n"/>
      <c r="FA10" s="2" t="n"/>
      <c r="FB10" s="2" t="n"/>
      <c r="FC10" s="42" t="n"/>
      <c r="FD10" s="42" t="n"/>
      <c r="FE10" s="42" t="n"/>
      <c r="FF10" s="42" t="n"/>
      <c r="FG10" s="42" t="n"/>
      <c r="FH10" s="42" t="n"/>
      <c r="FI10" s="42" t="n"/>
      <c r="FJ10" s="2" t="n"/>
      <c r="FK10" s="2" t="n"/>
      <c r="FL10" s="42" t="n"/>
      <c r="FM10" s="42" t="n"/>
      <c r="FN10" s="2" t="n"/>
      <c r="FO10" s="2" t="n"/>
      <c r="FP10" s="2" t="n"/>
      <c r="FQ10" s="2" t="n"/>
      <c r="FS10" s="50" t="n"/>
      <c r="FT10" s="50" t="n"/>
    </row>
    <row r="11">
      <c r="A11" s="2" t="inlineStr">
        <is>
          <t>DOC-3</t>
        </is>
      </c>
      <c r="B11" s="2" t="inlineStr">
        <is>
          <t>文档</t>
        </is>
      </c>
      <c r="C11" s="2" t="inlineStr">
        <is>
          <t>trade-off 分析</t>
        </is>
      </c>
      <c r="D11" s="40" t="n">
        <v>46265</v>
      </c>
      <c r="E11" s="40" t="n">
        <v>46276</v>
      </c>
      <c r="F11" s="3" t="inlineStr">
        <is>
          <t>pending</t>
        </is>
      </c>
      <c r="G11" s="9" t="n">
        <v>0</v>
      </c>
      <c r="H11" s="2" t="n"/>
      <c r="I11" s="2" t="inlineStr">
        <is>
          <t>TEST-1</t>
        </is>
      </c>
      <c r="J11" s="2" t="inlineStr">
        <is>
          <t>cost/cash/service 报告</t>
        </is>
      </c>
      <c r="K11" s="2" t="n"/>
      <c r="L11" s="2" t="n"/>
      <c r="M11" s="2" t="n"/>
      <c r="N11" s="42" t="n"/>
      <c r="O11" s="42" t="n"/>
      <c r="P11" s="2" t="n"/>
      <c r="Q11" s="2" t="n"/>
      <c r="R11" s="2" t="n"/>
      <c r="S11" s="2" t="n"/>
      <c r="T11" s="2" t="n"/>
      <c r="U11" s="42" t="n"/>
      <c r="V11" s="42" t="n"/>
      <c r="W11" s="2" t="n"/>
      <c r="X11" s="2" t="n"/>
      <c r="Y11" s="2" t="n"/>
      <c r="Z11" s="2" t="n"/>
      <c r="AA11" s="2" t="n"/>
      <c r="AB11" s="42" t="n"/>
      <c r="AC11" s="42" t="n"/>
      <c r="AD11" s="2" t="n"/>
      <c r="AE11" s="2" t="n"/>
      <c r="AF11" s="2" t="n"/>
      <c r="AG11" s="2" t="n"/>
      <c r="AH11" s="2" t="n"/>
      <c r="AI11" s="42" t="n"/>
      <c r="AJ11" s="42" t="n"/>
      <c r="AK11" s="2" t="n"/>
      <c r="AL11" s="2" t="n"/>
      <c r="AM11" s="2" t="n"/>
      <c r="AN11" s="2" t="n"/>
      <c r="AO11" s="2" t="n"/>
      <c r="AP11" s="42" t="n"/>
      <c r="AQ11" s="42" t="n"/>
      <c r="AR11" s="2" t="n"/>
      <c r="AS11" s="2" t="n"/>
      <c r="AT11" s="2" t="n"/>
      <c r="AU11" s="2" t="n"/>
      <c r="AV11" s="2" t="n"/>
      <c r="AW11" s="42" t="n"/>
      <c r="AX11" s="42" t="n"/>
      <c r="AY11" s="2" t="n"/>
      <c r="AZ11" s="2" t="n"/>
      <c r="BA11" s="2" t="n"/>
      <c r="BB11" s="2" t="n"/>
      <c r="BC11" s="42" t="n"/>
      <c r="BD11" s="42" t="n"/>
      <c r="BE11" s="42" t="n"/>
      <c r="BF11" s="2" t="n"/>
      <c r="BG11" s="2" t="n"/>
      <c r="BH11" s="2" t="n"/>
      <c r="BI11" s="2" t="n"/>
      <c r="BJ11" s="2" t="n"/>
      <c r="BK11" s="42" t="n"/>
      <c r="BL11" s="42" t="n"/>
      <c r="BM11" s="2" t="n"/>
      <c r="BN11" s="2" t="n"/>
      <c r="BO11" s="2" t="n"/>
      <c r="BP11" s="2" t="n"/>
      <c r="BQ11" s="2" t="n"/>
      <c r="BR11" s="42" t="n"/>
      <c r="BS11" s="42" t="n"/>
      <c r="BT11" s="2" t="n"/>
      <c r="BU11" s="2" t="n"/>
      <c r="BV11" s="2" t="n"/>
      <c r="BW11" s="2" t="n"/>
      <c r="BX11" s="2" t="n"/>
      <c r="BY11" s="42" t="n"/>
      <c r="BZ11" s="42" t="n"/>
      <c r="CA11" s="2" t="n"/>
      <c r="CB11" s="2" t="n"/>
      <c r="CC11" s="2" t="n"/>
      <c r="CD11" s="2" t="n"/>
      <c r="CE11" s="2" t="n"/>
      <c r="CF11" s="42" t="n"/>
      <c r="CG11" s="42" t="n"/>
      <c r="CH11" s="2" t="n"/>
      <c r="CI11" s="2" t="n"/>
      <c r="CJ11" s="2" t="n"/>
      <c r="CK11" s="2" t="n"/>
      <c r="CL11" s="2" t="n"/>
      <c r="CM11" s="42" t="n"/>
      <c r="CN11" s="42" t="n"/>
      <c r="CO11" s="2" t="n"/>
      <c r="CP11" s="2" t="n"/>
      <c r="CQ11" s="2" t="n"/>
      <c r="CR11" s="2" t="n"/>
      <c r="CS11" s="2" t="n"/>
      <c r="CT11" s="42" t="n"/>
      <c r="CU11" s="42" t="n"/>
      <c r="CV11" s="2" t="n"/>
      <c r="CW11" s="2" t="n"/>
      <c r="CX11" s="2" t="n"/>
      <c r="CY11" s="2" t="n"/>
      <c r="CZ11" s="2" t="n"/>
      <c r="DA11" s="42" t="n"/>
      <c r="DB11" s="42" t="n"/>
      <c r="DC11" s="2" t="n"/>
      <c r="DD11" s="2" t="n"/>
      <c r="DE11" s="2" t="n"/>
      <c r="DF11" s="2" t="n"/>
      <c r="DG11" s="2" t="n"/>
      <c r="DH11" s="42" t="n"/>
      <c r="DI11" s="42" t="n"/>
      <c r="DJ11" s="2" t="n"/>
      <c r="DK11" s="2" t="n"/>
      <c r="DL11" s="2" t="n"/>
      <c r="DM11" s="2" t="n"/>
      <c r="DN11" s="2" t="n"/>
      <c r="DO11" s="42" t="n"/>
      <c r="DP11" s="42" t="n"/>
      <c r="DQ11" s="2" t="n"/>
      <c r="DR11" s="2" t="n"/>
      <c r="DS11" s="2" t="n"/>
      <c r="DT11" s="2" t="n"/>
      <c r="DU11" s="2" t="n"/>
      <c r="DV11" s="42" t="n"/>
      <c r="DW11" s="42" t="n"/>
      <c r="DX11" s="41" t="n"/>
      <c r="DY11" s="41" t="n"/>
      <c r="DZ11" s="41" t="n"/>
      <c r="EA11" s="41" t="n"/>
      <c r="EB11" s="41" t="n"/>
      <c r="EC11" s="42" t="n"/>
      <c r="ED11" s="42" t="n"/>
      <c r="EE11" s="41" t="n"/>
      <c r="EF11" s="41" t="n"/>
      <c r="EG11" s="41" t="n"/>
      <c r="EH11" s="41" t="n"/>
      <c r="EI11" s="41" t="n"/>
      <c r="EJ11" s="42" t="n"/>
      <c r="EK11" s="42" t="n"/>
      <c r="EL11" s="2" t="n"/>
      <c r="EM11" s="2" t="n"/>
      <c r="EN11" s="2" t="n"/>
      <c r="EO11" s="2" t="n"/>
      <c r="EP11" s="2" t="n"/>
      <c r="EQ11" s="42" t="n"/>
      <c r="ER11" s="42" t="n"/>
      <c r="ES11" s="2" t="n"/>
      <c r="ET11" s="2" t="n"/>
      <c r="EU11" s="2" t="n"/>
      <c r="EV11" s="2" t="n"/>
      <c r="EW11" s="42" t="n"/>
      <c r="EX11" s="42" t="n"/>
      <c r="EY11" s="42" t="n"/>
      <c r="EZ11" s="2" t="n"/>
      <c r="FA11" s="2" t="n"/>
      <c r="FB11" s="2" t="n"/>
      <c r="FC11" s="42" t="n"/>
      <c r="FD11" s="42" t="n"/>
      <c r="FE11" s="42" t="n"/>
      <c r="FF11" s="42" t="n"/>
      <c r="FG11" s="42" t="n"/>
      <c r="FH11" s="42" t="n"/>
      <c r="FI11" s="42" t="n"/>
      <c r="FJ11" s="2" t="n"/>
      <c r="FK11" s="2" t="n"/>
      <c r="FL11" s="42" t="n"/>
      <c r="FM11" s="42" t="n"/>
      <c r="FN11" s="2" t="n"/>
      <c r="FO11" s="2" t="n"/>
      <c r="FP11" s="2" t="n"/>
      <c r="FQ11" s="2" t="n"/>
      <c r="FS11" s="50" t="n"/>
      <c r="FT11" s="50" t="n"/>
    </row>
    <row r="12">
      <c r="A12" s="2" t="inlineStr">
        <is>
          <t>DOC-4</t>
        </is>
      </c>
      <c r="B12" s="2" t="inlineStr">
        <is>
          <t>文档</t>
        </is>
      </c>
      <c r="C12" s="2" t="inlineStr">
        <is>
          <t>PG 数据分布</t>
        </is>
      </c>
      <c r="D12" s="40" t="n">
        <v>46279</v>
      </c>
      <c r="E12" s="40" t="n">
        <v>46293</v>
      </c>
      <c r="F12" s="3" t="inlineStr">
        <is>
          <t>pending</t>
        </is>
      </c>
      <c r="G12" s="9" t="n">
        <v>0</v>
      </c>
      <c r="H12" s="2" t="n"/>
      <c r="I12" s="2" t="inlineStr">
        <is>
          <t>P0</t>
        </is>
      </c>
      <c r="J12" s="2" t="inlineStr">
        <is>
          <t>PG 数据分布报告</t>
        </is>
      </c>
      <c r="K12" s="2" t="n"/>
      <c r="L12" s="2" t="n"/>
      <c r="M12" s="2" t="n"/>
      <c r="N12" s="42" t="n"/>
      <c r="O12" s="42" t="n"/>
      <c r="P12" s="2" t="n"/>
      <c r="Q12" s="2" t="n"/>
      <c r="R12" s="2" t="n"/>
      <c r="S12" s="2" t="n"/>
      <c r="T12" s="2" t="n"/>
      <c r="U12" s="42" t="n"/>
      <c r="V12" s="42" t="n"/>
      <c r="W12" s="2" t="n"/>
      <c r="X12" s="2" t="n"/>
      <c r="Y12" s="2" t="n"/>
      <c r="Z12" s="2" t="n"/>
      <c r="AA12" s="2" t="n"/>
      <c r="AB12" s="42" t="n"/>
      <c r="AC12" s="42" t="n"/>
      <c r="AD12" s="2" t="n"/>
      <c r="AE12" s="2" t="n"/>
      <c r="AF12" s="2" t="n"/>
      <c r="AG12" s="2" t="n"/>
      <c r="AH12" s="2" t="n"/>
      <c r="AI12" s="42" t="n"/>
      <c r="AJ12" s="42" t="n"/>
      <c r="AK12" s="2" t="n"/>
      <c r="AL12" s="2" t="n"/>
      <c r="AM12" s="2" t="n"/>
      <c r="AN12" s="2" t="n"/>
      <c r="AO12" s="2" t="n"/>
      <c r="AP12" s="42" t="n"/>
      <c r="AQ12" s="42" t="n"/>
      <c r="AR12" s="2" t="n"/>
      <c r="AS12" s="2" t="n"/>
      <c r="AT12" s="2" t="n"/>
      <c r="AU12" s="2" t="n"/>
      <c r="AV12" s="2" t="n"/>
      <c r="AW12" s="42" t="n"/>
      <c r="AX12" s="42" t="n"/>
      <c r="AY12" s="2" t="n"/>
      <c r="AZ12" s="2" t="n"/>
      <c r="BA12" s="2" t="n"/>
      <c r="BB12" s="2" t="n"/>
      <c r="BC12" s="42" t="n"/>
      <c r="BD12" s="42" t="n"/>
      <c r="BE12" s="42" t="n"/>
      <c r="BF12" s="2" t="n"/>
      <c r="BG12" s="2" t="n"/>
      <c r="BH12" s="2" t="n"/>
      <c r="BI12" s="2" t="n"/>
      <c r="BJ12" s="2" t="n"/>
      <c r="BK12" s="42" t="n"/>
      <c r="BL12" s="42" t="n"/>
      <c r="BM12" s="2" t="n"/>
      <c r="BN12" s="2" t="n"/>
      <c r="BO12" s="2" t="n"/>
      <c r="BP12" s="2" t="n"/>
      <c r="BQ12" s="2" t="n"/>
      <c r="BR12" s="42" t="n"/>
      <c r="BS12" s="42" t="n"/>
      <c r="BT12" s="2" t="n"/>
      <c r="BU12" s="2" t="n"/>
      <c r="BV12" s="2" t="n"/>
      <c r="BW12" s="2" t="n"/>
      <c r="BX12" s="2" t="n"/>
      <c r="BY12" s="42" t="n"/>
      <c r="BZ12" s="42" t="n"/>
      <c r="CA12" s="2" t="n"/>
      <c r="CB12" s="2" t="n"/>
      <c r="CC12" s="2" t="n"/>
      <c r="CD12" s="2" t="n"/>
      <c r="CE12" s="2" t="n"/>
      <c r="CF12" s="42" t="n"/>
      <c r="CG12" s="42" t="n"/>
      <c r="CH12" s="2" t="n"/>
      <c r="CI12" s="2" t="n"/>
      <c r="CJ12" s="2" t="n"/>
      <c r="CK12" s="2" t="n"/>
      <c r="CL12" s="2" t="n"/>
      <c r="CM12" s="42" t="n"/>
      <c r="CN12" s="42" t="n"/>
      <c r="CO12" s="2" t="n"/>
      <c r="CP12" s="2" t="n"/>
      <c r="CQ12" s="2" t="n"/>
      <c r="CR12" s="2" t="n"/>
      <c r="CS12" s="2" t="n"/>
      <c r="CT12" s="42" t="n"/>
      <c r="CU12" s="42" t="n"/>
      <c r="CV12" s="2" t="n"/>
      <c r="CW12" s="2" t="n"/>
      <c r="CX12" s="2" t="n"/>
      <c r="CY12" s="2" t="n"/>
      <c r="CZ12" s="2" t="n"/>
      <c r="DA12" s="42" t="n"/>
      <c r="DB12" s="42" t="n"/>
      <c r="DC12" s="2" t="n"/>
      <c r="DD12" s="2" t="n"/>
      <c r="DE12" s="2" t="n"/>
      <c r="DF12" s="2" t="n"/>
      <c r="DG12" s="2" t="n"/>
      <c r="DH12" s="42" t="n"/>
      <c r="DI12" s="42" t="n"/>
      <c r="DJ12" s="2" t="n"/>
      <c r="DK12" s="2" t="n"/>
      <c r="DL12" s="2" t="n"/>
      <c r="DM12" s="2" t="n"/>
      <c r="DN12" s="2" t="n"/>
      <c r="DO12" s="42" t="n"/>
      <c r="DP12" s="42" t="n"/>
      <c r="DQ12" s="2" t="n"/>
      <c r="DR12" s="2" t="n"/>
      <c r="DS12" s="2" t="n"/>
      <c r="DT12" s="2" t="n"/>
      <c r="DU12" s="2" t="n"/>
      <c r="DV12" s="42" t="n"/>
      <c r="DW12" s="42" t="n"/>
      <c r="DX12" s="2" t="n"/>
      <c r="DY12" s="2" t="n"/>
      <c r="DZ12" s="2" t="n"/>
      <c r="EA12" s="2" t="n"/>
      <c r="EB12" s="2" t="n"/>
      <c r="EC12" s="42" t="n"/>
      <c r="ED12" s="42" t="n"/>
      <c r="EE12" s="2" t="n"/>
      <c r="EF12" s="2" t="n"/>
      <c r="EG12" s="2" t="n"/>
      <c r="EH12" s="2" t="n"/>
      <c r="EI12" s="2" t="n"/>
      <c r="EJ12" s="42" t="n"/>
      <c r="EK12" s="42" t="n"/>
      <c r="EL12" s="41" t="n"/>
      <c r="EM12" s="41" t="n"/>
      <c r="EN12" s="41" t="n"/>
      <c r="EO12" s="41" t="n"/>
      <c r="EP12" s="41" t="n"/>
      <c r="EQ12" s="42" t="n"/>
      <c r="ER12" s="42" t="n"/>
      <c r="ES12" s="41" t="n"/>
      <c r="ET12" s="41" t="n"/>
      <c r="EU12" s="41" t="n"/>
      <c r="EV12" s="41" t="n"/>
      <c r="EW12" s="42" t="n"/>
      <c r="EX12" s="42" t="n"/>
      <c r="EY12" s="42" t="n"/>
      <c r="EZ12" s="41" t="n"/>
      <c r="FA12" s="2" t="n"/>
      <c r="FB12" s="2" t="n"/>
      <c r="FC12" s="42" t="n"/>
      <c r="FD12" s="42" t="n"/>
      <c r="FE12" s="42" t="n"/>
      <c r="FF12" s="42" t="n"/>
      <c r="FG12" s="42" t="n"/>
      <c r="FH12" s="42" t="n"/>
      <c r="FI12" s="42" t="n"/>
      <c r="FJ12" s="2" t="n"/>
      <c r="FK12" s="2" t="n"/>
      <c r="FL12" s="42" t="n"/>
      <c r="FM12" s="42" t="n"/>
      <c r="FN12" s="2" t="n"/>
      <c r="FO12" s="2" t="n"/>
      <c r="FP12" s="2" t="n"/>
      <c r="FQ12" s="2" t="n"/>
      <c r="FS12" s="50" t="n"/>
      <c r="FT12" s="50" t="n"/>
    </row>
    <row r="13">
      <c r="A13" s="2" t="inlineStr">
        <is>
          <t>DOC-1</t>
        </is>
      </c>
      <c r="B13" s="2" t="inlineStr">
        <is>
          <t>文档</t>
        </is>
      </c>
      <c r="C13" s="2" t="inlineStr">
        <is>
          <t>scope/problem/success criteria</t>
        </is>
      </c>
      <c r="D13" s="40" t="n">
        <v>46303</v>
      </c>
      <c r="E13" s="40" t="n">
        <v>46311</v>
      </c>
      <c r="F13" s="3" t="inlineStr">
        <is>
          <t>pending</t>
        </is>
      </c>
      <c r="G13" s="9" t="n">
        <v>0</v>
      </c>
      <c r="H13" s="2" t="n"/>
      <c r="I13" s="2" t="inlineStr">
        <is>
          <t>所有阶段</t>
        </is>
      </c>
      <c r="J13" s="2" t="inlineStr">
        <is>
          <t>最终范围与成功标准</t>
        </is>
      </c>
      <c r="K13" s="2" t="n"/>
      <c r="L13" s="2" t="n"/>
      <c r="M13" s="2" t="n"/>
      <c r="N13" s="42" t="n"/>
      <c r="O13" s="42" t="n"/>
      <c r="P13" s="2" t="n"/>
      <c r="Q13" s="2" t="n"/>
      <c r="R13" s="2" t="n"/>
      <c r="S13" s="2" t="n"/>
      <c r="T13" s="2" t="n"/>
      <c r="U13" s="42" t="n"/>
      <c r="V13" s="42" t="n"/>
      <c r="W13" s="2" t="n"/>
      <c r="X13" s="2" t="n"/>
      <c r="Y13" s="2" t="n"/>
      <c r="Z13" s="2" t="n"/>
      <c r="AA13" s="2" t="n"/>
      <c r="AB13" s="42" t="n"/>
      <c r="AC13" s="42" t="n"/>
      <c r="AD13" s="2" t="n"/>
      <c r="AE13" s="2" t="n"/>
      <c r="AF13" s="2" t="n"/>
      <c r="AG13" s="2" t="n"/>
      <c r="AH13" s="2" t="n"/>
      <c r="AI13" s="42" t="n"/>
      <c r="AJ13" s="42" t="n"/>
      <c r="AK13" s="2" t="n"/>
      <c r="AL13" s="2" t="n"/>
      <c r="AM13" s="2" t="n"/>
      <c r="AN13" s="2" t="n"/>
      <c r="AO13" s="2" t="n"/>
      <c r="AP13" s="42" t="n"/>
      <c r="AQ13" s="42" t="n"/>
      <c r="AR13" s="2" t="n"/>
      <c r="AS13" s="2" t="n"/>
      <c r="AT13" s="2" t="n"/>
      <c r="AU13" s="2" t="n"/>
      <c r="AV13" s="2" t="n"/>
      <c r="AW13" s="42" t="n"/>
      <c r="AX13" s="42" t="n"/>
      <c r="AY13" s="2" t="n"/>
      <c r="AZ13" s="2" t="n"/>
      <c r="BA13" s="2" t="n"/>
      <c r="BB13" s="2" t="n"/>
      <c r="BC13" s="42" t="n"/>
      <c r="BD13" s="42" t="n"/>
      <c r="BE13" s="42" t="n"/>
      <c r="BF13" s="2" t="n"/>
      <c r="BG13" s="2" t="n"/>
      <c r="BH13" s="2" t="n"/>
      <c r="BI13" s="2" t="n"/>
      <c r="BJ13" s="2" t="n"/>
      <c r="BK13" s="42" t="n"/>
      <c r="BL13" s="42" t="n"/>
      <c r="BM13" s="2" t="n"/>
      <c r="BN13" s="2" t="n"/>
      <c r="BO13" s="2" t="n"/>
      <c r="BP13" s="2" t="n"/>
      <c r="BQ13" s="2" t="n"/>
      <c r="BR13" s="42" t="n"/>
      <c r="BS13" s="42" t="n"/>
      <c r="BT13" s="2" t="n"/>
      <c r="BU13" s="2" t="n"/>
      <c r="BV13" s="2" t="n"/>
      <c r="BW13" s="2" t="n"/>
      <c r="BX13" s="2" t="n"/>
      <c r="BY13" s="42" t="n"/>
      <c r="BZ13" s="42" t="n"/>
      <c r="CA13" s="2" t="n"/>
      <c r="CB13" s="2" t="n"/>
      <c r="CC13" s="2" t="n"/>
      <c r="CD13" s="2" t="n"/>
      <c r="CE13" s="2" t="n"/>
      <c r="CF13" s="42" t="n"/>
      <c r="CG13" s="42" t="n"/>
      <c r="CH13" s="2" t="n"/>
      <c r="CI13" s="2" t="n"/>
      <c r="CJ13" s="2" t="n"/>
      <c r="CK13" s="2" t="n"/>
      <c r="CL13" s="2" t="n"/>
      <c r="CM13" s="42" t="n"/>
      <c r="CN13" s="42" t="n"/>
      <c r="CO13" s="2" t="n"/>
      <c r="CP13" s="2" t="n"/>
      <c r="CQ13" s="2" t="n"/>
      <c r="CR13" s="2" t="n"/>
      <c r="CS13" s="2" t="n"/>
      <c r="CT13" s="42" t="n"/>
      <c r="CU13" s="42" t="n"/>
      <c r="CV13" s="2" t="n"/>
      <c r="CW13" s="2" t="n"/>
      <c r="CX13" s="2" t="n"/>
      <c r="CY13" s="2" t="n"/>
      <c r="CZ13" s="2" t="n"/>
      <c r="DA13" s="42" t="n"/>
      <c r="DB13" s="42" t="n"/>
      <c r="DC13" s="2" t="n"/>
      <c r="DD13" s="2" t="n"/>
      <c r="DE13" s="2" t="n"/>
      <c r="DF13" s="2" t="n"/>
      <c r="DG13" s="2" t="n"/>
      <c r="DH13" s="42" t="n"/>
      <c r="DI13" s="42" t="n"/>
      <c r="DJ13" s="2" t="n"/>
      <c r="DK13" s="2" t="n"/>
      <c r="DL13" s="2" t="n"/>
      <c r="DM13" s="2" t="n"/>
      <c r="DN13" s="2" t="n"/>
      <c r="DO13" s="42" t="n"/>
      <c r="DP13" s="42" t="n"/>
      <c r="DQ13" s="2" t="n"/>
      <c r="DR13" s="2" t="n"/>
      <c r="DS13" s="2" t="n"/>
      <c r="DT13" s="2" t="n"/>
      <c r="DU13" s="2" t="n"/>
      <c r="DV13" s="42" t="n"/>
      <c r="DW13" s="42" t="n"/>
      <c r="DX13" s="2" t="n"/>
      <c r="DY13" s="2" t="n"/>
      <c r="DZ13" s="2" t="n"/>
      <c r="EA13" s="2" t="n"/>
      <c r="EB13" s="2" t="n"/>
      <c r="EC13" s="42" t="n"/>
      <c r="ED13" s="42" t="n"/>
      <c r="EE13" s="2" t="n"/>
      <c r="EF13" s="2" t="n"/>
      <c r="EG13" s="2" t="n"/>
      <c r="EH13" s="2" t="n"/>
      <c r="EI13" s="2" t="n"/>
      <c r="EJ13" s="42" t="n"/>
      <c r="EK13" s="42" t="n"/>
      <c r="EL13" s="2" t="n"/>
      <c r="EM13" s="2" t="n"/>
      <c r="EN13" s="2" t="n"/>
      <c r="EO13" s="2" t="n"/>
      <c r="EP13" s="2" t="n"/>
      <c r="EQ13" s="42" t="n"/>
      <c r="ER13" s="42" t="n"/>
      <c r="ES13" s="2" t="n"/>
      <c r="ET13" s="2" t="n"/>
      <c r="EU13" s="2" t="n"/>
      <c r="EV13" s="2" t="n"/>
      <c r="EW13" s="42" t="n"/>
      <c r="EX13" s="42" t="n"/>
      <c r="EY13" s="42" t="n"/>
      <c r="EZ13" s="2" t="n"/>
      <c r="FA13" s="2" t="n"/>
      <c r="FB13" s="2" t="n"/>
      <c r="FC13" s="42" t="n"/>
      <c r="FD13" s="42" t="n"/>
      <c r="FE13" s="42" t="n"/>
      <c r="FF13" s="42" t="n"/>
      <c r="FG13" s="42" t="n"/>
      <c r="FH13" s="42" t="n"/>
      <c r="FI13" s="42" t="n"/>
      <c r="FJ13" s="41" t="n"/>
      <c r="FK13" s="41" t="n"/>
      <c r="FL13" s="42" t="n"/>
      <c r="FM13" s="42" t="n"/>
      <c r="FN13" s="41" t="n"/>
      <c r="FO13" s="41" t="n"/>
      <c r="FP13" s="41" t="n"/>
      <c r="FQ13" s="41" t="n"/>
      <c r="FR13" s="51" t="n"/>
      <c r="FS13" s="50" t="n"/>
      <c r="FT13" s="50" t="n"/>
    </row>
    <row r="14">
      <c r="A14" s="2" t="inlineStr">
        <is>
          <t>FINAL</t>
        </is>
      </c>
      <c r="B14" s="2" t="inlineStr">
        <is>
          <t>收尾</t>
        </is>
      </c>
      <c r="C14" s="2" t="inlineStr">
        <is>
          <t>最终验收</t>
        </is>
      </c>
      <c r="D14" s="40" t="n">
        <v>46314</v>
      </c>
      <c r="E14" s="40" t="n">
        <v>46317</v>
      </c>
      <c r="F14" s="3" t="inlineStr">
        <is>
          <t>pending</t>
        </is>
      </c>
      <c r="G14" s="9" t="n">
        <v>0</v>
      </c>
      <c r="H14" s="2" t="n"/>
      <c r="I14" s="2" t="inlineStr">
        <is>
          <t>全部任务</t>
        </is>
      </c>
      <c r="J14" s="2" t="inlineStr">
        <is>
          <t>sign-off 完成</t>
        </is>
      </c>
      <c r="K14" s="2" t="n"/>
      <c r="L14" s="2" t="n"/>
      <c r="M14" s="2" t="n"/>
      <c r="N14" s="42" t="n"/>
      <c r="O14" s="42" t="n"/>
      <c r="P14" s="2" t="n"/>
      <c r="Q14" s="2" t="n"/>
      <c r="R14" s="2" t="n"/>
      <c r="S14" s="2" t="n"/>
      <c r="T14" s="2" t="n"/>
      <c r="U14" s="42" t="n"/>
      <c r="V14" s="42" t="n"/>
      <c r="W14" s="2" t="n"/>
      <c r="X14" s="2" t="n"/>
      <c r="Y14" s="2" t="n"/>
      <c r="Z14" s="2" t="n"/>
      <c r="AA14" s="2" t="n"/>
      <c r="AB14" s="42" t="n"/>
      <c r="AC14" s="42" t="n"/>
      <c r="AD14" s="2" t="n"/>
      <c r="AE14" s="2" t="n"/>
      <c r="AF14" s="2" t="n"/>
      <c r="AG14" s="2" t="n"/>
      <c r="AH14" s="2" t="n"/>
      <c r="AI14" s="42" t="n"/>
      <c r="AJ14" s="42" t="n"/>
      <c r="AK14" s="2" t="n"/>
      <c r="AL14" s="2" t="n"/>
      <c r="AM14" s="2" t="n"/>
      <c r="AN14" s="2" t="n"/>
      <c r="AO14" s="2" t="n"/>
      <c r="AP14" s="42" t="n"/>
      <c r="AQ14" s="42" t="n"/>
      <c r="AR14" s="2" t="n"/>
      <c r="AS14" s="2" t="n"/>
      <c r="AT14" s="2" t="n"/>
      <c r="AU14" s="2" t="n"/>
      <c r="AV14" s="2" t="n"/>
      <c r="AW14" s="42" t="n"/>
      <c r="AX14" s="42" t="n"/>
      <c r="AY14" s="2" t="n"/>
      <c r="AZ14" s="2" t="n"/>
      <c r="BA14" s="2" t="n"/>
      <c r="BB14" s="2" t="n"/>
      <c r="BC14" s="42" t="n"/>
      <c r="BD14" s="42" t="n"/>
      <c r="BE14" s="42" t="n"/>
      <c r="BF14" s="2" t="n"/>
      <c r="BG14" s="2" t="n"/>
      <c r="BH14" s="2" t="n"/>
      <c r="BI14" s="2" t="n"/>
      <c r="BJ14" s="2" t="n"/>
      <c r="BK14" s="42" t="n"/>
      <c r="BL14" s="42" t="n"/>
      <c r="BM14" s="2" t="n"/>
      <c r="BN14" s="2" t="n"/>
      <c r="BO14" s="2" t="n"/>
      <c r="BP14" s="2" t="n"/>
      <c r="BQ14" s="2" t="n"/>
      <c r="BR14" s="42" t="n"/>
      <c r="BS14" s="42" t="n"/>
      <c r="BT14" s="2" t="n"/>
      <c r="BU14" s="2" t="n"/>
      <c r="BV14" s="2" t="n"/>
      <c r="BW14" s="2" t="n"/>
      <c r="BX14" s="2" t="n"/>
      <c r="BY14" s="42" t="n"/>
      <c r="BZ14" s="42" t="n"/>
      <c r="CA14" s="2" t="n"/>
      <c r="CB14" s="2" t="n"/>
      <c r="CC14" s="2" t="n"/>
      <c r="CD14" s="2" t="n"/>
      <c r="CE14" s="2" t="n"/>
      <c r="CF14" s="42" t="n"/>
      <c r="CG14" s="42" t="n"/>
      <c r="CH14" s="2" t="n"/>
      <c r="CI14" s="2" t="n"/>
      <c r="CJ14" s="2" t="n"/>
      <c r="CK14" s="2" t="n"/>
      <c r="CL14" s="2" t="n"/>
      <c r="CM14" s="42" t="n"/>
      <c r="CN14" s="42" t="n"/>
      <c r="CO14" s="2" t="n"/>
      <c r="CP14" s="2" t="n"/>
      <c r="CQ14" s="2" t="n"/>
      <c r="CR14" s="2" t="n"/>
      <c r="CS14" s="2" t="n"/>
      <c r="CT14" s="42" t="n"/>
      <c r="CU14" s="42" t="n"/>
      <c r="CV14" s="2" t="n"/>
      <c r="CW14" s="2" t="n"/>
      <c r="CX14" s="2" t="n"/>
      <c r="CY14" s="2" t="n"/>
      <c r="CZ14" s="2" t="n"/>
      <c r="DA14" s="42" t="n"/>
      <c r="DB14" s="42" t="n"/>
      <c r="DC14" s="2" t="n"/>
      <c r="DD14" s="2" t="n"/>
      <c r="DE14" s="2" t="n"/>
      <c r="DF14" s="2" t="n"/>
      <c r="DG14" s="2" t="n"/>
      <c r="DH14" s="42" t="n"/>
      <c r="DI14" s="42" t="n"/>
      <c r="DJ14" s="2" t="n"/>
      <c r="DK14" s="2" t="n"/>
      <c r="DL14" s="2" t="n"/>
      <c r="DM14" s="2" t="n"/>
      <c r="DN14" s="2" t="n"/>
      <c r="DO14" s="42" t="n"/>
      <c r="DP14" s="42" t="n"/>
      <c r="DQ14" s="2" t="n"/>
      <c r="DR14" s="2" t="n"/>
      <c r="DS14" s="2" t="n"/>
      <c r="DT14" s="2" t="n"/>
      <c r="DU14" s="2" t="n"/>
      <c r="DV14" s="42" t="n"/>
      <c r="DW14" s="42" t="n"/>
      <c r="DX14" s="2" t="n"/>
      <c r="DY14" s="2" t="n"/>
      <c r="DZ14" s="2" t="n"/>
      <c r="EA14" s="2" t="n"/>
      <c r="EB14" s="2" t="n"/>
      <c r="EC14" s="42" t="n"/>
      <c r="ED14" s="42" t="n"/>
      <c r="EE14" s="2" t="n"/>
      <c r="EF14" s="2" t="n"/>
      <c r="EG14" s="2" t="n"/>
      <c r="EH14" s="2" t="n"/>
      <c r="EI14" s="2" t="n"/>
      <c r="EJ14" s="42" t="n"/>
      <c r="EK14" s="42" t="n"/>
      <c r="EL14" s="2" t="n"/>
      <c r="EM14" s="2" t="n"/>
      <c r="EN14" s="2" t="n"/>
      <c r="EO14" s="2" t="n"/>
      <c r="EP14" s="2" t="n"/>
      <c r="EQ14" s="42" t="n"/>
      <c r="ER14" s="42" t="n"/>
      <c r="ES14" s="2" t="n"/>
      <c r="ET14" s="2" t="n"/>
      <c r="EU14" s="2" t="n"/>
      <c r="EV14" s="2" t="n"/>
      <c r="EW14" s="42" t="n"/>
      <c r="EX14" s="42" t="n"/>
      <c r="EY14" s="42" t="n"/>
      <c r="EZ14" s="2" t="n"/>
      <c r="FA14" s="2" t="n"/>
      <c r="FB14" s="2" t="n"/>
      <c r="FC14" s="42" t="n"/>
      <c r="FD14" s="42" t="n"/>
      <c r="FE14" s="42" t="n"/>
      <c r="FF14" s="42" t="n"/>
      <c r="FG14" s="42" t="n"/>
      <c r="FH14" s="42" t="n"/>
      <c r="FI14" s="42" t="n"/>
      <c r="FJ14" s="2" t="n"/>
      <c r="FK14" s="2" t="n"/>
      <c r="FL14" s="42" t="n"/>
      <c r="FM14" s="42" t="n"/>
      <c r="FN14" s="2" t="n"/>
      <c r="FO14" s="2" t="n"/>
      <c r="FP14" s="2" t="n"/>
      <c r="FQ14" s="2" t="n"/>
      <c r="FS14" s="50" t="n"/>
      <c r="FT14" s="50" t="n"/>
      <c r="FU14" s="51" t="n"/>
      <c r="FV14" s="51" t="n"/>
      <c r="FW14" s="51" t="n"/>
      <c r="FX14" s="51" t="n"/>
    </row>
    <row r="17">
      <c r="A17" s="8" t="n"/>
      <c r="B17" s="12" t="n"/>
      <c r="C17" s="12" t="n"/>
      <c r="D17" s="12" t="n"/>
      <c r="E17" s="12" t="n"/>
      <c r="F17" s="12" t="n"/>
    </row>
    <row r="20">
      <c r="A20" s="8" t="inlineStr">
        <is>
          <t>Legend</t>
        </is>
      </c>
      <c r="B20" s="13" t="inlineStr">
        <is>
          <t>Planned</t>
        </is>
      </c>
      <c r="C20" s="14" t="inlineStr">
        <is>
          <t>Progress</t>
        </is>
      </c>
      <c r="D20" s="15" t="inlineStr">
        <is>
          <t>Done</t>
        </is>
      </c>
      <c r="E20" s="16" t="inlineStr">
        <is>
          <t>Blocked</t>
        </is>
      </c>
      <c r="F20" s="17" t="inlineStr">
        <is>
          <t>Weekend</t>
        </is>
      </c>
      <c r="G20" s="18" t="inlineStr">
        <is>
          <t>0→100%</t>
        </is>
      </c>
    </row>
  </sheetData>
  <autoFilter ref="A1:FQ22"/>
  <conditionalFormatting sqref="G2:G17">
    <cfRule type="dataBar" priority="80">
      <dataBar>
        <cfvo type="num" val="0"/>
        <cfvo type="num" val="1"/>
        <color rgb="FF63BE7B"/>
      </dataBar>
    </cfRule>
    <cfRule type="colorScale" priority="7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K2:FQ14">
    <cfRule type="expression" priority="1" dxfId="13">
      <formula>AND(K$1&gt;=$D2,K$1&lt;=$E2,$F2=done)</formula>
    </cfRule>
    <cfRule type="expression" priority="2" dxfId="12">
      <formula>AND(K$1&gt;=$D2,K$1&lt;=$E2,$F2=blocked)</formula>
    </cfRule>
    <cfRule type="expression" priority="3" dxfId="5">
      <formula>AND($F2&lt;&gt;done,$F2&lt;&gt;blocked,K$1&gt;=$D2,K$1&lt;=$D2+ROUND(($E2-$D2+1)*$G2,0)-1)</formula>
    </cfRule>
    <cfRule type="expression" priority="40" dxfId="13">
      <formula>AND(K$1&gt;=$D2,K$1&lt;=$E2,$F2=done)</formula>
    </cfRule>
    <cfRule type="expression" priority="41" dxfId="12">
      <formula>AND(K$1&gt;=$D2,K$1&lt;=$E2,$F2=blocked)</formula>
    </cfRule>
    <cfRule type="expression" priority="42" dxfId="5">
      <formula>AND($F2&lt;&gt;done,$F2&lt;&gt;blocked,K$1&gt;=$D2,K$1&lt;=$D2+ROUND(($E2-$D2+1)*$G2,0)-1)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style="38" min="1" max="1"/>
    <col width="14" customWidth="1" style="38" min="2" max="2"/>
    <col width="29" customWidth="1" style="38" min="3" max="3"/>
    <col width="38" customWidth="1" style="38" min="4" max="4"/>
  </cols>
  <sheetData>
    <row r="1">
      <c r="A1" s="1" t="inlineStr">
        <is>
          <t>阶段</t>
        </is>
      </c>
      <c r="B1" s="1" t="inlineStr">
        <is>
          <t>时间</t>
        </is>
      </c>
      <c r="C1" s="1" t="inlineStr">
        <is>
          <t>主题</t>
        </is>
      </c>
      <c r="D1" s="1" t="inlineStr">
        <is>
          <t>主要产出</t>
        </is>
      </c>
    </row>
    <row r="2">
      <c r="A2" s="2" t="inlineStr">
        <is>
          <t>Phase 0</t>
        </is>
      </c>
      <c r="B2" s="2" t="inlineStr">
        <is>
          <t>5/6 - 5/9</t>
        </is>
      </c>
      <c r="C2" s="2" t="inlineStr">
        <is>
          <t>启动、基线、代码审计</t>
        </is>
      </c>
      <c r="D2" s="2" t="inlineStr">
        <is>
          <t>项目计划、性能基线、风险清单</t>
        </is>
      </c>
    </row>
    <row r="3" ht="28.8" customHeight="1" s="38">
      <c r="A3" s="2" t="inlineStr">
        <is>
          <t>Phase 1</t>
        </is>
      </c>
      <c r="B3" s="2" t="inlineStr">
        <is>
          <t>5/11 - 5/29</t>
        </is>
      </c>
      <c r="C3" s="2" t="inlineStr">
        <is>
          <t>M1 订单生成逻辑升级</t>
        </is>
      </c>
      <c r="D3" s="2" t="inlineStr">
        <is>
          <t>demand_planning_refactor 周→日订单生成、主入口切换评估、向量化回归报告</t>
        </is>
      </c>
    </row>
    <row r="4">
      <c r="A4" s="2" t="inlineStr">
        <is>
          <t>Phase 2</t>
        </is>
      </c>
      <c r="B4" s="2" t="inlineStr">
        <is>
          <t>6/1 - 6/29</t>
        </is>
      </c>
      <c r="C4" s="2" t="inlineStr">
        <is>
          <t>M4 多产线生产排程</t>
        </is>
      </c>
      <c r="D4" s="2" t="inlineStr">
        <is>
          <t>多产线排程逻辑、测试案例、性能报告</t>
        </is>
      </c>
    </row>
    <row r="5" ht="28.8" customHeight="1" s="38">
      <c r="A5" s="2" t="inlineStr">
        <is>
          <t>Phase 3</t>
        </is>
      </c>
      <c r="B5" s="2" t="inlineStr">
        <is>
          <t>7/1 - 7/22</t>
        </is>
      </c>
      <c r="C5" s="2" t="inlineStr">
        <is>
          <t>DataFrame 性能优化 + Validation</t>
        </is>
      </c>
      <c r="D5" s="2" t="inlineStr">
        <is>
          <t>filtered df 修复、append-free、输入/中间校验</t>
        </is>
      </c>
    </row>
    <row r="6">
      <c r="A6" s="2" t="inlineStr">
        <is>
          <t>Phase 4</t>
        </is>
      </c>
      <c r="B6" s="2" t="inlineStr">
        <is>
          <t>8/3 - 8/14</t>
        </is>
      </c>
      <c r="C6" s="2" t="inlineStr">
        <is>
          <t>E2E 测试网络</t>
        </is>
      </c>
      <c r="D6" s="2" t="inlineStr">
        <is>
          <t>E2E 配置、30 天仿真、自动化脚本</t>
        </is>
      </c>
    </row>
    <row r="7">
      <c r="A7" s="2" t="inlineStr">
        <is>
          <t>Phase 5</t>
        </is>
      </c>
      <c r="B7" s="2" t="inlineStr">
        <is>
          <t>8/17 - 9/28</t>
        </is>
      </c>
      <c r="C7" s="2" t="inlineStr">
        <is>
          <t>分析类文档</t>
        </is>
      </c>
      <c r="D7" s="2" t="inlineStr">
        <is>
          <t>回测、trade-off、PG 分布报告</t>
        </is>
      </c>
    </row>
    <row r="8" ht="28.8" customHeight="1" s="38">
      <c r="A8" s="2" t="inlineStr">
        <is>
          <t>Phase 6</t>
        </is>
      </c>
      <c r="B8" s="2" t="inlineStr">
        <is>
          <t>10/8 - 10/22</t>
        </is>
      </c>
      <c r="C8" s="2" t="inlineStr">
        <is>
          <t>项目定义、收尾、验收</t>
        </is>
      </c>
      <c r="D8" s="2" t="inlineStr">
        <is>
          <t>scope/problem/success criteria、最终交付包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style="38" min="1" max="1"/>
    <col width="15" customWidth="1" style="38" min="2" max="2"/>
    <col width="23" customWidth="1" style="38" min="3" max="3"/>
    <col width="42" customWidth="1" style="38" min="4" max="4"/>
    <col width="24" customWidth="1" style="38" min="5" max="5"/>
    <col width="12" customWidth="1" style="38" min="6" max="6"/>
  </cols>
  <sheetData>
    <row r="1">
      <c r="A1" s="1" t="inlineStr">
        <is>
          <t>ID</t>
        </is>
      </c>
      <c r="B1" s="1" t="inlineStr">
        <is>
          <t>工作流</t>
        </is>
      </c>
      <c r="C1" s="1" t="inlineStr">
        <is>
          <t>任务</t>
        </is>
      </c>
      <c r="D1" s="1" t="inlineStr">
        <is>
          <t>子任务</t>
        </is>
      </c>
      <c r="E1" s="1" t="inlineStr">
        <is>
          <t>交付物</t>
        </is>
      </c>
      <c r="F1" s="1" t="inlineStr">
        <is>
          <t>初始状态</t>
        </is>
      </c>
    </row>
    <row r="2" ht="28.8" customHeight="1" s="38">
      <c r="A2" s="2" t="inlineStr">
        <is>
          <t>P0</t>
        </is>
      </c>
      <c r="B2" s="2" t="inlineStr">
        <is>
          <t>启动</t>
        </is>
      </c>
      <c r="C2" s="2" t="inlineStr">
        <is>
          <t>项目启动与基线</t>
        </is>
      </c>
      <c r="D2" s="2" t="inlineStr">
        <is>
          <t>计划确认、性能基线、风险审计</t>
        </is>
      </c>
      <c r="E2" s="2" t="inlineStr">
        <is>
          <t>项目计划、baseline、风险清单</t>
        </is>
      </c>
      <c r="F2" s="3" t="inlineStr">
        <is>
          <t>pending</t>
        </is>
      </c>
    </row>
    <row r="3" ht="43.2" customHeight="1" s="38">
      <c r="A3" s="2" t="inlineStr">
        <is>
          <t>MLE-1</t>
        </is>
      </c>
      <c r="B3" s="2" t="inlineStr">
        <is>
          <t>Model Logic</t>
        </is>
      </c>
      <c r="C3" s="2" t="inlineStr">
        <is>
          <t>M1 订单生成逻辑</t>
        </is>
      </c>
      <c r="D3" s="2" t="inlineStr">
        <is>
          <t>demand_planning_refactor 已落地周度订单、日度拆分、AO/normal、向量化；待主入口切换和回归</t>
        </is>
      </c>
      <c r="E3" s="2" t="inlineStr">
        <is>
          <t>M1 重构代码、流程图、回归报告</t>
        </is>
      </c>
      <c r="F3" s="3" t="inlineStr">
        <is>
          <t>in-progress</t>
        </is>
      </c>
    </row>
    <row r="4">
      <c r="A4" s="2" t="inlineStr">
        <is>
          <t>MLE-2</t>
        </is>
      </c>
      <c r="B4" s="2" t="inlineStr">
        <is>
          <t>Model Logic</t>
        </is>
      </c>
      <c r="C4" s="2" t="inlineStr">
        <is>
          <t>M4 多产线排程</t>
        </is>
      </c>
      <c r="D4" s="2" t="inlineStr">
        <is>
          <t>SKU-line 候选、产能分配、换产、可靠性</t>
        </is>
      </c>
      <c r="E4" s="2" t="inlineStr">
        <is>
          <t>M4 多产线逻辑</t>
        </is>
      </c>
      <c r="F4" s="3" t="inlineStr">
        <is>
          <t>pending</t>
        </is>
      </c>
    </row>
    <row r="5" ht="28.8" customHeight="1" s="38">
      <c r="A5" s="2" t="inlineStr">
        <is>
          <t>MLE-3</t>
        </is>
      </c>
      <c r="B5" s="2" t="inlineStr">
        <is>
          <t>Model Logic</t>
        </is>
      </c>
      <c r="C5" s="2" t="inlineStr">
        <is>
          <t>filtered DataFrame 优化</t>
        </is>
      </c>
      <c r="D5" s="2" t="inlineStr">
        <is>
          <t>chained indexing 审计、`.loc/.copy()` 规范</t>
        </is>
      </c>
      <c r="E5" s="2" t="inlineStr">
        <is>
          <t>DataFrame 访问规范与修复</t>
        </is>
      </c>
      <c r="F5" s="3" t="inlineStr">
        <is>
          <t>pending</t>
        </is>
      </c>
    </row>
    <row r="6">
      <c r="A6" s="2" t="inlineStr">
        <is>
          <t>MLE-4</t>
        </is>
      </c>
      <c r="B6" s="2" t="inlineStr">
        <is>
          <t>Model Logic</t>
        </is>
      </c>
      <c r="C6" s="2" t="inlineStr">
        <is>
          <t>避免逐日 append</t>
        </is>
      </c>
      <c r="D6" s="2" t="inlineStr">
        <is>
          <t>list 累积、一次 concat、预分配</t>
        </is>
      </c>
      <c r="E6" s="2" t="inlineStr">
        <is>
          <t>append-free 实现</t>
        </is>
      </c>
      <c r="F6" s="3" t="inlineStr">
        <is>
          <t>pending</t>
        </is>
      </c>
    </row>
    <row r="7">
      <c r="A7" s="2" t="inlineStr">
        <is>
          <t>VAL-1</t>
        </is>
      </c>
      <c r="B7" s="2" t="inlineStr">
        <is>
          <t>Validation</t>
        </is>
      </c>
      <c r="C7" s="2" t="inlineStr">
        <is>
          <t>用户输入校验</t>
        </is>
      </c>
      <c r="D7" s="2" t="inlineStr">
        <is>
          <t>schema、必填、类型、范围、业务一致性</t>
        </is>
      </c>
      <c r="E7" s="2" t="inlineStr">
        <is>
          <t>input validator</t>
        </is>
      </c>
      <c r="F7" s="3" t="inlineStr">
        <is>
          <t>pending</t>
        </is>
      </c>
    </row>
    <row r="8" ht="28.8" customHeight="1" s="38">
      <c r="A8" s="2" t="inlineStr">
        <is>
          <t>VAL-2</t>
        </is>
      </c>
      <c r="B8" s="2" t="inlineStr">
        <is>
          <t>Validation</t>
        </is>
      </c>
      <c r="C8" s="2" t="inlineStr">
        <is>
          <t>中间数据校验</t>
        </is>
      </c>
      <c r="D8" s="2" t="inlineStr">
        <is>
          <t>M1/M3/M4/M5 checkpoint、负数/重复/日期异常</t>
        </is>
      </c>
      <c r="E8" s="2" t="inlineStr">
        <is>
          <t>intermediate validator</t>
        </is>
      </c>
      <c r="F8" s="3" t="inlineStr">
        <is>
          <t>pending</t>
        </is>
      </c>
    </row>
    <row r="9">
      <c r="A9" s="2" t="inlineStr">
        <is>
          <t>TEST-1</t>
        </is>
      </c>
      <c r="B9" s="2" t="inlineStr">
        <is>
          <t>Testing</t>
        </is>
      </c>
      <c r="C9" s="2" t="inlineStr">
        <is>
          <t>E2E 测试网络</t>
        </is>
      </c>
      <c r="D9" s="2" t="inlineStr">
        <is>
          <t>mock network、smoke、30 天仿真、自动化</t>
        </is>
      </c>
      <c r="E9" s="2" t="inlineStr">
        <is>
          <t>E2E 测试包</t>
        </is>
      </c>
      <c r="F9" s="3" t="inlineStr">
        <is>
          <t>pending</t>
        </is>
      </c>
    </row>
    <row r="10" ht="28.8" customHeight="1" s="38">
      <c r="A10" s="2" t="inlineStr">
        <is>
          <t>DOC-1</t>
        </is>
      </c>
      <c r="B10" s="2" t="inlineStr">
        <is>
          <t>Documentation</t>
        </is>
      </c>
      <c r="C10" s="2" t="inlineStr">
        <is>
          <t>项目范围与成功标准</t>
        </is>
      </c>
      <c r="D10" s="2" t="inlineStr">
        <is>
          <t>scope、problem、success criteria、non-goals</t>
        </is>
      </c>
      <c r="E10" s="2" t="inlineStr">
        <is>
          <t>项目定义文档</t>
        </is>
      </c>
      <c r="F10" s="3" t="inlineStr">
        <is>
          <t>pending</t>
        </is>
      </c>
    </row>
    <row r="11">
      <c r="A11" s="2" t="inlineStr">
        <is>
          <t>DOC-2</t>
        </is>
      </c>
      <c r="B11" s="2" t="inlineStr">
        <is>
          <t>Documentation</t>
        </is>
      </c>
      <c r="C11" s="2" t="inlineStr">
        <is>
          <t>历史回测文档</t>
        </is>
      </c>
      <c r="D11" s="2" t="inlineStr">
        <is>
          <t>KPI 定义、simulated vs actual、偏差解释</t>
        </is>
      </c>
      <c r="E11" s="2" t="inlineStr">
        <is>
          <t>回测报告</t>
        </is>
      </c>
      <c r="F11" s="3" t="inlineStr">
        <is>
          <t>pending</t>
        </is>
      </c>
    </row>
    <row r="12">
      <c r="A12" s="2" t="inlineStr">
        <is>
          <t>DOC-3</t>
        </is>
      </c>
      <c r="B12" s="2" t="inlineStr">
        <is>
          <t>Documentation</t>
        </is>
      </c>
      <c r="C12" s="2" t="inlineStr">
        <is>
          <t>Trade-off 分析</t>
        </is>
      </c>
      <c r="D12" s="2" t="inlineStr">
        <is>
          <t>cost/cash/service KPI、场景、曲线</t>
        </is>
      </c>
      <c r="E12" s="2" t="inlineStr">
        <is>
          <t>trade-off 报告</t>
        </is>
      </c>
      <c r="F12" s="3" t="inlineStr">
        <is>
          <t>pending</t>
        </is>
      </c>
    </row>
    <row r="13">
      <c r="A13" s="2" t="inlineStr">
        <is>
          <t>DOC-4</t>
        </is>
      </c>
      <c r="B13" s="2" t="inlineStr">
        <is>
          <t>Documentation</t>
        </is>
      </c>
      <c r="C13" s="2" t="inlineStr">
        <is>
          <t>PG 数据分布分析</t>
        </is>
      </c>
      <c r="D13" s="2" t="inlineStr">
        <is>
          <t>demand/inventory/leadtime/production 分布</t>
        </is>
      </c>
      <c r="E13" s="2" t="inlineStr">
        <is>
          <t>PG 数据报告</t>
        </is>
      </c>
      <c r="F13" s="3" t="inlineStr">
        <is>
          <t>pending</t>
        </is>
      </c>
    </row>
    <row r="14">
      <c r="A14" s="2" t="inlineStr">
        <is>
          <t>CDP-1</t>
        </is>
      </c>
      <c r="B14" s="2" t="inlineStr">
        <is>
          <t>Coding Design</t>
        </is>
      </c>
      <c r="C14" s="2" t="inlineStr">
        <is>
          <t>1000+ 行函数拆分</t>
        </is>
      </c>
      <c r="D14" s="2" t="inlineStr">
        <is>
          <t>长函数识别、拆分、接口整理、测试保护</t>
        </is>
      </c>
      <c r="E14" s="2" t="inlineStr">
        <is>
          <t>重构 PR</t>
        </is>
      </c>
      <c r="F14" s="3" t="inlineStr">
        <is>
          <t>pending</t>
        </is>
      </c>
    </row>
    <row r="15">
      <c r="A15" s="2" t="inlineStr">
        <is>
          <t>CDP-2</t>
        </is>
      </c>
      <c r="B15" s="2" t="inlineStr">
        <is>
          <t>Coding Design</t>
        </is>
      </c>
      <c r="C15" s="2" t="inlineStr">
        <is>
          <t>硬编码参数清理</t>
        </is>
      </c>
      <c r="D15" s="2" t="inlineStr">
        <is>
          <t>已完成</t>
        </is>
      </c>
      <c r="E15" s="2" t="inlineStr">
        <is>
          <t>-</t>
        </is>
      </c>
      <c r="F15" s="4" t="inlineStr">
        <is>
          <t>done</t>
        </is>
      </c>
    </row>
    <row r="16">
      <c r="A16" s="2" t="inlineStr">
        <is>
          <t>CDP-3</t>
        </is>
      </c>
      <c r="B16" s="2" t="inlineStr">
        <is>
          <t>Coding Design</t>
        </is>
      </c>
      <c r="C16" s="2" t="inlineStr">
        <is>
          <t>死代码与注释块清理</t>
        </is>
      </c>
      <c r="D16" s="2" t="inlineStr">
        <is>
          <t>已完成</t>
        </is>
      </c>
      <c r="E16" s="2" t="inlineStr">
        <is>
          <t>-</t>
        </is>
      </c>
      <c r="F16" s="4" t="inlineStr">
        <is>
          <t>done</t>
        </is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0"/>
  <sheetViews>
    <sheetView topLeftCell="B1" workbookViewId="0">
      <pane ySplit="1" topLeftCell="A107" activePane="bottomLeft" state="frozen"/>
      <selection pane="bottomLeft" activeCell="A1" sqref="A1"/>
    </sheetView>
  </sheetViews>
  <sheetFormatPr baseColWidth="8" defaultRowHeight="14.4"/>
  <cols>
    <col width="12" customWidth="1" style="38" min="1" max="3"/>
    <col width="18" customWidth="1" style="38" min="4" max="4"/>
    <col width="48" customWidth="1" style="38" min="5" max="5"/>
    <col width="24" customWidth="1" style="38" min="6" max="6"/>
    <col width="14" customWidth="1" style="38" min="7" max="7"/>
    <col width="12" customWidth="1" style="38" min="8" max="11"/>
    <col width="24" customWidth="1" style="38" min="12" max="12"/>
  </cols>
  <sheetData>
    <row r="1">
      <c r="A1" s="21" t="inlineStr">
        <is>
          <t>日期</t>
        </is>
      </c>
      <c r="B1" s="21" t="inlineStr">
        <is>
          <t>任务 ID</t>
        </is>
      </c>
      <c r="C1" s="21" t="inlineStr">
        <is>
          <t>汇总到</t>
        </is>
      </c>
      <c r="D1" s="21" t="inlineStr">
        <is>
          <t>当日任务</t>
        </is>
      </c>
      <c r="E1" s="21" t="inlineStr">
        <is>
          <t>具体工作</t>
        </is>
      </c>
      <c r="F1" s="21" t="inlineStr">
        <is>
          <t>交付物</t>
        </is>
      </c>
      <c r="G1" s="21" t="inlineStr">
        <is>
          <t>状态</t>
        </is>
      </c>
      <c r="H1" s="21" t="inlineStr">
        <is>
          <t>计划工时</t>
        </is>
      </c>
      <c r="I1" s="21" t="inlineStr">
        <is>
          <t>已完成工时</t>
        </is>
      </c>
      <c r="J1" s="21" t="inlineStr">
        <is>
          <t>剩余工时</t>
        </is>
      </c>
      <c r="K1" s="21" t="inlineStr">
        <is>
          <t>工时进度</t>
        </is>
      </c>
      <c r="L1" s="21" t="inlineStr">
        <is>
          <t>备注</t>
        </is>
      </c>
    </row>
    <row r="2">
      <c r="A2" s="43" t="n">
        <v>46148</v>
      </c>
      <c r="B2" s="23" t="inlineStr">
        <is>
          <t>P0</t>
        </is>
      </c>
      <c r="C2" s="23" t="inlineStr">
        <is>
          <t>P0</t>
        </is>
      </c>
      <c r="D2" s="2" t="inlineStr">
        <is>
          <t>项目启动</t>
        </is>
      </c>
      <c r="E2" s="2" t="inlineStr">
        <is>
          <t>确认截图任务范围、冻结代码基线</t>
        </is>
      </c>
      <c r="F2" s="2" t="inlineStr">
        <is>
          <t>项目计划 v1</t>
        </is>
      </c>
      <c r="G2" s="23" t="inlineStr">
        <is>
          <t>pending</t>
        </is>
      </c>
      <c r="H2" s="44" t="n">
        <v>10</v>
      </c>
      <c r="I2" s="44" t="n">
        <v>0</v>
      </c>
      <c r="J2" s="44">
        <f>MAX(H2-I2,0)</f>
        <v/>
      </c>
      <c r="K2" s="25">
        <f>IF(H2=0,0,I2/H2)</f>
        <v/>
      </c>
      <c r="L2" s="2" t="n"/>
    </row>
    <row r="3">
      <c r="A3" s="43" t="n">
        <v>46149</v>
      </c>
      <c r="B3" s="23" t="inlineStr">
        <is>
          <t>P0</t>
        </is>
      </c>
      <c r="C3" s="23" t="inlineStr">
        <is>
          <t>P0</t>
        </is>
      </c>
      <c r="D3" s="2" t="inlineStr">
        <is>
          <t>性能基线</t>
        </is>
      </c>
      <c r="E3" s="2" t="inlineStr">
        <is>
          <t>跑现有 M1/M4/M5/M6 端到端流程，记录耗时</t>
        </is>
      </c>
      <c r="F3" s="2" t="inlineStr">
        <is>
          <t>baseline 性能日志</t>
        </is>
      </c>
      <c r="G3" s="23" t="inlineStr">
        <is>
          <t>pending</t>
        </is>
      </c>
      <c r="H3" s="44" t="n">
        <v>10</v>
      </c>
      <c r="I3" s="44" t="n">
        <v>0</v>
      </c>
      <c r="J3" s="44">
        <f>MAX(H3-I3,0)</f>
        <v/>
      </c>
      <c r="K3" s="25">
        <f>IF(H3=0,0,I3/H3)</f>
        <v/>
      </c>
      <c r="L3" s="2" t="n"/>
    </row>
    <row r="4">
      <c r="A4" s="43" t="n">
        <v>46150</v>
      </c>
      <c r="B4" s="23" t="inlineStr">
        <is>
          <t>P0</t>
        </is>
      </c>
      <c r="C4" s="23" t="inlineStr">
        <is>
          <t>P0</t>
        </is>
      </c>
      <c r="D4" s="2" t="inlineStr">
        <is>
          <t>风险审计</t>
        </is>
      </c>
      <c r="E4" s="2" t="inlineStr">
        <is>
          <t>标记 M1/M4 高风险函数、长函数、逐日 append 点</t>
        </is>
      </c>
      <c r="F4" s="2" t="inlineStr">
        <is>
          <t>风险清单</t>
        </is>
      </c>
      <c r="G4" s="23" t="inlineStr">
        <is>
          <t>pending</t>
        </is>
      </c>
      <c r="H4" s="44" t="n">
        <v>10</v>
      </c>
      <c r="I4" s="44" t="n">
        <v>0</v>
      </c>
      <c r="J4" s="44">
        <f>MAX(H4-I4,0)</f>
        <v/>
      </c>
      <c r="K4" s="25">
        <f>IF(H4=0,0,I4/H4)</f>
        <v/>
      </c>
      <c r="L4" s="2" t="n"/>
    </row>
    <row r="5" ht="43.2" customHeight="1" s="38">
      <c r="A5" s="43" t="n">
        <v>46153</v>
      </c>
      <c r="B5" s="23" t="inlineStr">
        <is>
          <t>MLE-1</t>
        </is>
      </c>
      <c r="C5" s="23" t="inlineStr">
        <is>
          <t>MLE-1</t>
        </is>
      </c>
      <c r="D5" s="2" t="inlineStr">
        <is>
          <t>M1 现状梳理</t>
        </is>
      </c>
      <c r="E5" s="2" t="inlineStr">
        <is>
          <t>以 src/modules/demand_planning_refactor 为准复核 forecast → weekly orders → daily orders → shipment</t>
        </is>
      </c>
      <c r="F5" s="2" t="inlineStr">
        <is>
          <t>M1 流程图</t>
        </is>
      </c>
      <c r="G5" s="23" t="inlineStr">
        <is>
          <t>in-progress</t>
        </is>
      </c>
      <c r="H5" s="44" t="n">
        <v>10</v>
      </c>
      <c r="I5" s="44" t="n">
        <v>0</v>
      </c>
      <c r="J5" s="44">
        <f>MAX(H5-I5,0)</f>
        <v/>
      </c>
      <c r="K5" s="25">
        <f>IF(H5=0,0,I5/H5)</f>
        <v/>
      </c>
      <c r="L5" s="2" t="inlineStr">
        <is>
          <t>重构代码已存在，文档按现状同步</t>
        </is>
      </c>
    </row>
    <row r="6" ht="72" customHeight="1" s="38">
      <c r="A6" s="43" t="n">
        <v>46154</v>
      </c>
      <c r="B6" s="23" t="inlineStr">
        <is>
          <t>MLE-1</t>
        </is>
      </c>
      <c r="C6" s="23" t="inlineStr">
        <is>
          <t>MLE-1</t>
        </is>
      </c>
      <c r="D6" s="2" t="inlineStr">
        <is>
          <t>周度订单设计</t>
        </is>
      </c>
      <c r="E6" s="2" t="inlineStr">
        <is>
          <t>复核 week first, then split to valid order dates 的数据结构</t>
        </is>
      </c>
      <c r="F6" s="2" t="inlineStr">
        <is>
          <t>M1 设计说明</t>
        </is>
      </c>
      <c r="G6" s="23" t="inlineStr">
        <is>
          <t>in-progress</t>
        </is>
      </c>
      <c r="H6" s="44" t="n">
        <v>10</v>
      </c>
      <c r="I6" s="44" t="n">
        <v>0</v>
      </c>
      <c r="J6" s="44">
        <f>MAX(H6-I6,0)</f>
        <v/>
      </c>
      <c r="K6" s="25">
        <f>IF(H6=0,0,I6/H6)</f>
        <v/>
      </c>
      <c r="L6" s="2" t="inlineStr">
        <is>
          <t>已在 generate_weekly_orders() / split_weekly_orders_to_daily() 落地</t>
        </is>
      </c>
    </row>
    <row r="7" ht="43.2" customHeight="1" s="38">
      <c r="A7" s="43" t="n">
        <v>46155</v>
      </c>
      <c r="B7" s="23" t="inlineStr">
        <is>
          <t>MLE-1</t>
        </is>
      </c>
      <c r="C7" s="23" t="inlineStr">
        <is>
          <t>MLE-1</t>
        </is>
      </c>
      <c r="D7" s="2" t="inlineStr">
        <is>
          <t>日度拆分规则</t>
        </is>
      </c>
      <c r="E7" s="2" t="inlineStr">
        <is>
          <t>复核整数拆分、余数分配、OrderCalendar 有效下单日规则</t>
        </is>
      </c>
      <c r="F7" s="2" t="inlineStr">
        <is>
          <t>拆分规则表</t>
        </is>
      </c>
      <c r="G7" s="23" t="inlineStr">
        <is>
          <t>in-progress</t>
        </is>
      </c>
      <c r="H7" s="44" t="n">
        <v>10</v>
      </c>
      <c r="I7" s="44" t="n">
        <v>0</v>
      </c>
      <c r="J7" s="44">
        <f>MAX(H7-I7,0)</f>
        <v/>
      </c>
      <c r="K7" s="25">
        <f>IF(H7=0,0,I7/H7)</f>
        <v/>
      </c>
      <c r="L7" s="2" t="inlineStr">
        <is>
          <t>OrderCalendar 只决定 order_date，不决定 require_date</t>
        </is>
      </c>
    </row>
    <row r="8" ht="43.2" customHeight="1" s="38">
      <c r="A8" s="43" t="n">
        <v>46156</v>
      </c>
      <c r="B8" s="23" t="inlineStr">
        <is>
          <t>MLE-1</t>
        </is>
      </c>
      <c r="C8" s="23" t="inlineStr">
        <is>
          <t>MLE-1</t>
        </is>
      </c>
      <c r="D8" s="2" t="inlineStr">
        <is>
          <t>AO/Normal 适配</t>
        </is>
      </c>
      <c r="E8" s="2" t="inlineStr">
        <is>
          <t>复核 AO advance_days 最后作用、normal 当天下当天要</t>
        </is>
      </c>
      <c r="F8" s="2" t="inlineStr">
        <is>
          <t>AO/Normal 规则说明</t>
        </is>
      </c>
      <c r="G8" s="23" t="inlineStr">
        <is>
          <t>in-progress</t>
        </is>
      </c>
      <c r="H8" s="44" t="n">
        <v>10</v>
      </c>
      <c r="I8" s="44" t="n">
        <v>0</v>
      </c>
      <c r="J8" s="44">
        <f>MAX(H8-I8,0)</f>
        <v/>
      </c>
      <c r="K8" s="25">
        <f>IF(H8=0,0,I8/H8)</f>
        <v/>
      </c>
      <c r="L8" s="2" t="inlineStr">
        <is>
          <t>date=require_date, simulation_date=order_date</t>
        </is>
      </c>
    </row>
    <row r="9" ht="57.6" customHeight="1" s="38">
      <c r="A9" s="43" t="n">
        <v>46157</v>
      </c>
      <c r="B9" s="23" t="inlineStr">
        <is>
          <t>MLE-1</t>
        </is>
      </c>
      <c r="C9" s="23" t="inlineStr">
        <is>
          <t>MLE-1</t>
        </is>
      </c>
      <c r="D9" s="2" t="inlineStr">
        <is>
          <t>单元测试设计</t>
        </is>
      </c>
      <c r="E9" s="2" t="inlineStr">
        <is>
          <t>补齐 M1 周→日拆分和输出契约测试</t>
        </is>
      </c>
      <c r="F9" s="2" t="inlineStr">
        <is>
          <t>M1 unit test case</t>
        </is>
      </c>
      <c r="G9" s="23" t="inlineStr">
        <is>
          <t>in-progress</t>
        </is>
      </c>
      <c r="H9" s="44" t="n">
        <v>10</v>
      </c>
      <c r="I9" s="44" t="n">
        <v>0</v>
      </c>
      <c r="J9" s="44">
        <f>MAX(H9-I9,0)</f>
        <v/>
      </c>
      <c r="K9" s="25">
        <f>IF(H9=0,0,I9/H9)</f>
        <v/>
      </c>
      <c r="L9" s="2" t="inlineStr">
        <is>
          <t>已有 functional_tests/module_tests/feature_tests/integration_tests</t>
        </is>
      </c>
    </row>
    <row r="10" ht="28.8" customHeight="1" s="38">
      <c r="A10" s="43" t="n">
        <v>46160</v>
      </c>
      <c r="B10" s="23" t="inlineStr">
        <is>
          <t>MLE-1</t>
        </is>
      </c>
      <c r="C10" s="23" t="inlineStr">
        <is>
          <t>MLE-1</t>
        </is>
      </c>
      <c r="D10" s="2" t="inlineStr">
        <is>
          <t>实现周度订单生成</t>
        </is>
      </c>
      <c r="E10" s="2" t="inlineStr">
        <is>
          <t>回归 generate_weekly_orders() 总量、结构、CoV 和随机稳定性</t>
        </is>
      </c>
      <c r="F10" s="2" t="inlineStr">
        <is>
          <t>M1 回归记录</t>
        </is>
      </c>
      <c r="G10" s="23" t="inlineStr">
        <is>
          <t>pending</t>
        </is>
      </c>
      <c r="H10" s="44" t="n">
        <v>10</v>
      </c>
      <c r="I10" s="44" t="n">
        <v>0</v>
      </c>
      <c r="J10" s="44">
        <f>MAX(H10-I10,0)</f>
        <v/>
      </c>
      <c r="K10" s="25">
        <f>IF(H10=0,0,I10/H10)</f>
        <v/>
      </c>
      <c r="L10" s="2" t="inlineStr">
        <is>
          <t>代码已在 refactor 模块，待回归确认</t>
        </is>
      </c>
    </row>
    <row r="11" ht="28.8" customHeight="1" s="38">
      <c r="A11" s="43" t="n">
        <v>46161</v>
      </c>
      <c r="B11" s="23" t="inlineStr">
        <is>
          <t>MLE-1</t>
        </is>
      </c>
      <c r="C11" s="23" t="inlineStr">
        <is>
          <t>MLE-1</t>
        </is>
      </c>
      <c r="D11" s="2" t="inlineStr">
        <is>
          <t>实现日度拆分</t>
        </is>
      </c>
      <c r="E11" s="2" t="inlineStr">
        <is>
          <t>回归 split_weekly_orders_to_daily() 数量守恒和下单日过滤</t>
        </is>
      </c>
      <c r="F11" s="2" t="inlineStr">
        <is>
          <t>日订单输出</t>
        </is>
      </c>
      <c r="G11" s="23" t="inlineStr">
        <is>
          <t>pending</t>
        </is>
      </c>
      <c r="H11" s="44" t="n">
        <v>10</v>
      </c>
      <c r="I11" s="44" t="n">
        <v>0</v>
      </c>
      <c r="J11" s="44">
        <f>MAX(H11-I11,0)</f>
        <v/>
      </c>
      <c r="K11" s="25">
        <f>IF(H11=0,0,I11/H11)</f>
        <v/>
      </c>
      <c r="L11" s="2" t="inlineStr">
        <is>
          <t>代码已在 refactor 模块，待回归确认</t>
        </is>
      </c>
    </row>
    <row r="12" ht="43.2" customHeight="1" s="38">
      <c r="A12" s="43" t="n">
        <v>46162</v>
      </c>
      <c r="B12" s="23" t="inlineStr">
        <is>
          <t>MLE-1</t>
        </is>
      </c>
      <c r="C12" s="23" t="inlineStr">
        <is>
          <t>MLE-1</t>
        </is>
      </c>
      <c r="D12" s="2" t="inlineStr">
        <is>
          <t>向量化处理</t>
        </is>
      </c>
      <c r="E12" s="2" t="inlineStr">
        <is>
          <t>回归 consume_orders()、_apply_orders_consumption() 优化路径</t>
        </is>
      </c>
      <c r="F12" s="2" t="inlineStr">
        <is>
          <t>向量化验证</t>
        </is>
      </c>
      <c r="G12" s="23" t="inlineStr">
        <is>
          <t>pending</t>
        </is>
      </c>
      <c r="H12" s="44" t="n">
        <v>10</v>
      </c>
      <c r="I12" s="44" t="n">
        <v>0</v>
      </c>
      <c r="J12" s="44">
        <f>MAX(H12-I12,0)</f>
        <v/>
      </c>
      <c r="K12" s="25">
        <f>IF(H12=0,0,I12/H12)</f>
        <v/>
      </c>
      <c r="L12" s="2" t="inlineStr">
        <is>
          <t>默认 DEFAULT_USE_OPTIMIZED_CONSUME=True</t>
        </is>
      </c>
    </row>
    <row r="13">
      <c r="A13" s="43" t="n">
        <v>46163</v>
      </c>
      <c r="B13" s="23" t="inlineStr">
        <is>
          <t>MLE-1</t>
        </is>
      </c>
      <c r="C13" s="23" t="inlineStr">
        <is>
          <t>MLE-1</t>
        </is>
      </c>
      <c r="D13" s="2" t="inlineStr">
        <is>
          <t>随机误差一致性</t>
        </is>
      </c>
      <c r="E13" s="2" t="inlineStr">
        <is>
          <t>确保 forecast_error 随机数序列不漂移</t>
        </is>
      </c>
      <c r="F13" s="2" t="inlineStr">
        <is>
          <t>随机一致性检查</t>
        </is>
      </c>
      <c r="G13" s="23" t="inlineStr">
        <is>
          <t>pending</t>
        </is>
      </c>
      <c r="H13" s="44" t="n">
        <v>10</v>
      </c>
      <c r="I13" s="44" t="n">
        <v>0</v>
      </c>
      <c r="J13" s="44">
        <f>MAX(H13-I13,0)</f>
        <v/>
      </c>
      <c r="K13" s="25">
        <f>IF(H13=0,0,I13/H13)</f>
        <v/>
      </c>
      <c r="L13" s="2" t="n"/>
    </row>
    <row r="14">
      <c r="A14" s="43" t="n">
        <v>46164</v>
      </c>
      <c r="B14" s="23" t="inlineStr">
        <is>
          <t>MLE-1</t>
        </is>
      </c>
      <c r="C14" s="23" t="inlineStr">
        <is>
          <t>MLE-1</t>
        </is>
      </c>
      <c r="D14" s="2" t="inlineStr">
        <is>
          <t>M1 回归测试</t>
        </is>
      </c>
      <c r="E14" s="2" t="inlineStr">
        <is>
          <t>对比旧版 OrderLog / SupplyDemandLog</t>
        </is>
      </c>
      <c r="F14" s="2" t="inlineStr">
        <is>
          <t>M1 diff 报告</t>
        </is>
      </c>
      <c r="G14" s="23" t="inlineStr">
        <is>
          <t>pending</t>
        </is>
      </c>
      <c r="H14" s="44" t="n">
        <v>10</v>
      </c>
      <c r="I14" s="44" t="n">
        <v>0</v>
      </c>
      <c r="J14" s="44">
        <f>MAX(H14-I14,0)</f>
        <v/>
      </c>
      <c r="K14" s="25">
        <f>IF(H14=0,0,I14/H14)</f>
        <v/>
      </c>
      <c r="L14" s="2" t="n"/>
    </row>
    <row r="15">
      <c r="A15" s="43" t="n">
        <v>46167</v>
      </c>
      <c r="B15" s="23" t="inlineStr">
        <is>
          <t>MLE-1</t>
        </is>
      </c>
      <c r="C15" s="23" t="inlineStr">
        <is>
          <t>MLE-1</t>
        </is>
      </c>
      <c r="D15" s="2" t="inlineStr">
        <is>
          <t>性能优化</t>
        </is>
      </c>
      <c r="E15" s="2" t="inlineStr">
        <is>
          <t>缓存周→日 forecast，避免每天重复展开</t>
        </is>
      </c>
      <c r="F15" s="2" t="inlineStr">
        <is>
          <t>M1 cache 实现</t>
        </is>
      </c>
      <c r="G15" s="23" t="inlineStr">
        <is>
          <t>pending</t>
        </is>
      </c>
      <c r="H15" s="44" t="n">
        <v>10</v>
      </c>
      <c r="I15" s="44" t="n">
        <v>0</v>
      </c>
      <c r="J15" s="44">
        <f>MAX(H15-I15,0)</f>
        <v/>
      </c>
      <c r="K15" s="25">
        <f>IF(H15=0,0,I15/H15)</f>
        <v/>
      </c>
      <c r="L15" s="2" t="n"/>
    </row>
    <row r="16">
      <c r="A16" s="43" t="n">
        <v>46168</v>
      </c>
      <c r="B16" s="23" t="inlineStr">
        <is>
          <t>MLE-1</t>
        </is>
      </c>
      <c r="C16" s="23" t="inlineStr">
        <is>
          <t>MLE-1</t>
        </is>
      </c>
      <c r="D16" s="2" t="inlineStr">
        <is>
          <t>下游兼容</t>
        </is>
      </c>
      <c r="E16" s="2" t="inlineStr">
        <is>
          <t>验证 M3/M5 读取 M1 输出不受影响</t>
        </is>
      </c>
      <c r="F16" s="2" t="inlineStr">
        <is>
          <t>兼容性报告</t>
        </is>
      </c>
      <c r="G16" s="23" t="inlineStr">
        <is>
          <t>pending</t>
        </is>
      </c>
      <c r="H16" s="44" t="n">
        <v>10</v>
      </c>
      <c r="I16" s="44" t="n">
        <v>0</v>
      </c>
      <c r="J16" s="44">
        <f>MAX(H16-I16,0)</f>
        <v/>
      </c>
      <c r="K16" s="25">
        <f>IF(H16=0,0,I16/H16)</f>
        <v/>
      </c>
      <c r="L16" s="2" t="n"/>
    </row>
    <row r="17">
      <c r="A17" s="43" t="n">
        <v>46169</v>
      </c>
      <c r="B17" s="23" t="inlineStr">
        <is>
          <t>CDP-1</t>
        </is>
      </c>
      <c r="C17" s="23" t="inlineStr">
        <is>
          <t>CDP-1</t>
        </is>
      </c>
      <c r="D17" s="2" t="inlineStr">
        <is>
          <t>函数拆分</t>
        </is>
      </c>
      <c r="E17" s="2" t="inlineStr">
        <is>
          <t>拆分 M1 中长函数，保留行为一致</t>
        </is>
      </c>
      <c r="F17" s="2" t="inlineStr">
        <is>
          <t>小函数化 PR</t>
        </is>
      </c>
      <c r="G17" s="23" t="inlineStr">
        <is>
          <t>pending</t>
        </is>
      </c>
      <c r="H17" s="44" t="n">
        <v>10</v>
      </c>
      <c r="I17" s="44" t="n">
        <v>0</v>
      </c>
      <c r="J17" s="44">
        <f>MAX(H17-I17,0)</f>
        <v/>
      </c>
      <c r="K17" s="25">
        <f>IF(H17=0,0,I17/H17)</f>
        <v/>
      </c>
      <c r="L17" s="2" t="n"/>
    </row>
    <row r="18">
      <c r="A18" s="43" t="n">
        <v>46170</v>
      </c>
      <c r="B18" s="23" t="inlineStr">
        <is>
          <t>MLE-1</t>
        </is>
      </c>
      <c r="C18" s="23" t="inlineStr">
        <is>
          <t>MLE-1</t>
        </is>
      </c>
      <c r="D18" s="2" t="inlineStr">
        <is>
          <t>性能 benchmark</t>
        </is>
      </c>
      <c r="E18" s="2" t="inlineStr">
        <is>
          <t>记录优化前后 M1 每日平均耗时</t>
        </is>
      </c>
      <c r="F18" s="2" t="inlineStr">
        <is>
          <t>M1 性能报告</t>
        </is>
      </c>
      <c r="G18" s="23" t="inlineStr">
        <is>
          <t>pending</t>
        </is>
      </c>
      <c r="H18" s="44" t="n">
        <v>10</v>
      </c>
      <c r="I18" s="44" t="n">
        <v>0</v>
      </c>
      <c r="J18" s="44">
        <f>MAX(H18-I18,0)</f>
        <v/>
      </c>
      <c r="K18" s="25">
        <f>IF(H18=0,0,I18/H18)</f>
        <v/>
      </c>
      <c r="L18" s="2" t="n"/>
    </row>
    <row r="19">
      <c r="A19" s="43" t="n">
        <v>46171</v>
      </c>
      <c r="B19" s="23" t="inlineStr">
        <is>
          <t>MLE-1</t>
        </is>
      </c>
      <c r="C19" s="23" t="inlineStr">
        <is>
          <t>MLE-1</t>
        </is>
      </c>
      <c r="D19" s="2" t="inlineStr">
        <is>
          <t>Phase 1 验收</t>
        </is>
      </c>
      <c r="E19" s="2" t="inlineStr">
        <is>
          <t>代码审查、结果确认、风险关闭</t>
        </is>
      </c>
      <c r="F19" s="2" t="inlineStr">
        <is>
          <t>M1 验收记录</t>
        </is>
      </c>
      <c r="G19" s="23" t="inlineStr">
        <is>
          <t>pending</t>
        </is>
      </c>
      <c r="H19" s="44" t="n">
        <v>10</v>
      </c>
      <c r="I19" s="44" t="n">
        <v>0</v>
      </c>
      <c r="J19" s="44">
        <f>MAX(H19-I19,0)</f>
        <v/>
      </c>
      <c r="K19" s="25">
        <f>IF(H19=0,0,I19/H19)</f>
        <v/>
      </c>
      <c r="L19" s="2" t="n"/>
    </row>
    <row r="20">
      <c r="A20" s="43" t="n">
        <v>46174</v>
      </c>
      <c r="B20" s="23" t="inlineStr">
        <is>
          <t>MLE-2</t>
        </is>
      </c>
      <c r="C20" s="23" t="inlineStr">
        <is>
          <t>MLE-2</t>
        </is>
      </c>
      <c r="D20" s="2" t="inlineStr">
        <is>
          <t>M4 现状梳理</t>
        </is>
      </c>
      <c r="E20" s="2" t="inlineStr">
        <is>
          <t>梳理 SKU→line、capacity、changeover 数据流</t>
        </is>
      </c>
      <c r="F20" s="2" t="inlineStr">
        <is>
          <t>M4 流程图</t>
        </is>
      </c>
      <c r="G20" s="23" t="inlineStr">
        <is>
          <t>pending</t>
        </is>
      </c>
      <c r="H20" s="44" t="n">
        <v>10</v>
      </c>
      <c r="I20" s="44" t="n">
        <v>0</v>
      </c>
      <c r="J20" s="44">
        <f>MAX(H20-I20,0)</f>
        <v/>
      </c>
      <c r="K20" s="25">
        <f>IF(H20=0,0,I20/H20)</f>
        <v/>
      </c>
      <c r="L20" s="2" t="n"/>
    </row>
    <row r="21">
      <c r="A21" s="43" t="n">
        <v>46175</v>
      </c>
      <c r="B21" s="23" t="inlineStr">
        <is>
          <t>MLE-2</t>
        </is>
      </c>
      <c r="C21" s="23" t="inlineStr">
        <is>
          <t>MLE-2</t>
        </is>
      </c>
      <c r="D21" s="2" t="inlineStr">
        <is>
          <t>多产线需求定义</t>
        </is>
      </c>
      <c r="E21" s="2" t="inlineStr">
        <is>
          <t>明确一个 SKU 可映射多条产线的业务规则</t>
        </is>
      </c>
      <c r="F21" s="2" t="inlineStr">
        <is>
          <t>规则说明</t>
        </is>
      </c>
      <c r="G21" s="23" t="inlineStr">
        <is>
          <t>pending</t>
        </is>
      </c>
      <c r="H21" s="44" t="n">
        <v>10</v>
      </c>
      <c r="I21" s="44" t="n">
        <v>0</v>
      </c>
      <c r="J21" s="44">
        <f>MAX(H21-I21,0)</f>
        <v/>
      </c>
      <c r="K21" s="25">
        <f>IF(H21=0,0,I21/H21)</f>
        <v/>
      </c>
      <c r="L21" s="2" t="n"/>
    </row>
    <row r="22">
      <c r="A22" s="43" t="n">
        <v>46176</v>
      </c>
      <c r="B22" s="23" t="inlineStr">
        <is>
          <t>MLE-2</t>
        </is>
      </c>
      <c r="C22" s="23" t="inlineStr">
        <is>
          <t>MLE-2</t>
        </is>
      </c>
      <c r="D22" s="2" t="inlineStr">
        <is>
          <t>数据模型设计</t>
        </is>
      </c>
      <c r="E22" s="2" t="inlineStr">
        <is>
          <t>设计 SKU-line candidate table、priority、rate</t>
        </is>
      </c>
      <c r="F22" s="2" t="inlineStr">
        <is>
          <t>数据结构草案</t>
        </is>
      </c>
      <c r="G22" s="23" t="inlineStr">
        <is>
          <t>pending</t>
        </is>
      </c>
      <c r="H22" s="44" t="n">
        <v>10</v>
      </c>
      <c r="I22" s="44" t="n">
        <v>0</v>
      </c>
      <c r="J22" s="44">
        <f>MAX(H22-I22,0)</f>
        <v/>
      </c>
      <c r="K22" s="25">
        <f>IF(H22=0,0,I22/H22)</f>
        <v/>
      </c>
      <c r="L22" s="2" t="n"/>
    </row>
    <row r="23" ht="28.8" customHeight="1" s="38">
      <c r="A23" s="43" t="n">
        <v>46177</v>
      </c>
      <c r="B23" s="23" t="inlineStr">
        <is>
          <t>MLE-2</t>
        </is>
      </c>
      <c r="C23" s="23" t="inlineStr">
        <is>
          <t>MLE-2</t>
        </is>
      </c>
      <c r="D23" s="2" t="inlineStr">
        <is>
          <t>约束识别</t>
        </is>
      </c>
      <c r="E23" s="2" t="inlineStr">
        <is>
          <t>识别 capacity、changeover、reliability、available_date 约束</t>
        </is>
      </c>
      <c r="F23" s="2" t="inlineStr">
        <is>
          <t>约束清单</t>
        </is>
      </c>
      <c r="G23" s="23" t="inlineStr">
        <is>
          <t>pending</t>
        </is>
      </c>
      <c r="H23" s="44" t="n">
        <v>10</v>
      </c>
      <c r="I23" s="44" t="n">
        <v>0</v>
      </c>
      <c r="J23" s="44">
        <f>MAX(H23-I23,0)</f>
        <v/>
      </c>
      <c r="K23" s="25">
        <f>IF(H23=0,0,I23/H23)</f>
        <v/>
      </c>
      <c r="L23" s="2" t="n"/>
    </row>
    <row r="24">
      <c r="A24" s="43" t="n">
        <v>46178</v>
      </c>
      <c r="B24" s="23" t="inlineStr">
        <is>
          <t>MLE-2</t>
        </is>
      </c>
      <c r="C24" s="23" t="inlineStr">
        <is>
          <t>MLE-2</t>
        </is>
      </c>
      <c r="D24" s="2" t="inlineStr">
        <is>
          <t>测试场景设计</t>
        </is>
      </c>
      <c r="E24" s="2" t="inlineStr">
        <is>
          <t>设计单 SKU 多线、产能不足、换产冲突用例</t>
        </is>
      </c>
      <c r="F24" s="2" t="inlineStr">
        <is>
          <t>M4 test cases</t>
        </is>
      </c>
      <c r="G24" s="23" t="inlineStr">
        <is>
          <t>pending</t>
        </is>
      </c>
      <c r="H24" s="44" t="n">
        <v>10</v>
      </c>
      <c r="I24" s="44" t="n">
        <v>0</v>
      </c>
      <c r="J24" s="44">
        <f>MAX(H24-I24,0)</f>
        <v/>
      </c>
      <c r="K24" s="25">
        <f>IF(H24=0,0,I24/H24)</f>
        <v/>
      </c>
      <c r="L24" s="2" t="n"/>
    </row>
    <row r="25">
      <c r="A25" s="43" t="n">
        <v>46181</v>
      </c>
      <c r="B25" s="23" t="inlineStr">
        <is>
          <t>MLE-2</t>
        </is>
      </c>
      <c r="C25" s="23" t="inlineStr">
        <is>
          <t>MLE-2</t>
        </is>
      </c>
      <c r="D25" s="2" t="inlineStr">
        <is>
          <t>多线候选生成</t>
        </is>
      </c>
      <c r="E25" s="2" t="inlineStr">
        <is>
          <t>实现 SKU 可选产线展开</t>
        </is>
      </c>
      <c r="F25" s="2" t="inlineStr">
        <is>
          <t>candidate lines</t>
        </is>
      </c>
      <c r="G25" s="23" t="inlineStr">
        <is>
          <t>pending</t>
        </is>
      </c>
      <c r="H25" s="44" t="n">
        <v>10</v>
      </c>
      <c r="I25" s="44" t="n">
        <v>0</v>
      </c>
      <c r="J25" s="44">
        <f>MAX(H25-I25,0)</f>
        <v/>
      </c>
      <c r="K25" s="25">
        <f>IF(H25=0,0,I25/H25)</f>
        <v/>
      </c>
      <c r="L25" s="2" t="n"/>
    </row>
    <row r="26">
      <c r="A26" s="43" t="n">
        <v>46182</v>
      </c>
      <c r="B26" s="23" t="inlineStr">
        <is>
          <t>MLE-2</t>
        </is>
      </c>
      <c r="C26" s="23" t="inlineStr">
        <is>
          <t>MLE-2</t>
        </is>
      </c>
      <c r="D26" s="2" t="inlineStr">
        <is>
          <t>产能分配逻辑</t>
        </is>
      </c>
      <c r="E26" s="2" t="inlineStr">
        <is>
          <t>按产能、rate、priority 分配生产量</t>
        </is>
      </c>
      <c r="F26" s="2" t="inlineStr">
        <is>
          <t>capacity allocation</t>
        </is>
      </c>
      <c r="G26" s="23" t="inlineStr">
        <is>
          <t>pending</t>
        </is>
      </c>
      <c r="H26" s="44" t="n">
        <v>10</v>
      </c>
      <c r="I26" s="44" t="n">
        <v>0</v>
      </c>
      <c r="J26" s="44">
        <f>MAX(H26-I26,0)</f>
        <v/>
      </c>
      <c r="K26" s="25">
        <f>IF(H26=0,0,I26/H26)</f>
        <v/>
      </c>
      <c r="L26" s="2" t="n"/>
    </row>
    <row r="27">
      <c r="A27" s="43" t="n">
        <v>46183</v>
      </c>
      <c r="B27" s="23" t="inlineStr">
        <is>
          <t>MLE-2</t>
        </is>
      </c>
      <c r="C27" s="23" t="inlineStr">
        <is>
          <t>MLE-2</t>
        </is>
      </c>
      <c r="D27" s="2" t="inlineStr">
        <is>
          <t>换产逻辑适配</t>
        </is>
      </c>
      <c r="E27" s="2" t="inlineStr">
        <is>
          <t>多线情况下处理 changeover matrix</t>
        </is>
      </c>
      <c r="F27" s="2" t="inlineStr">
        <is>
          <t>changeover 适配</t>
        </is>
      </c>
      <c r="G27" s="23" t="inlineStr">
        <is>
          <t>pending</t>
        </is>
      </c>
      <c r="H27" s="44" t="n">
        <v>10</v>
      </c>
      <c r="I27" s="44" t="n">
        <v>0</v>
      </c>
      <c r="J27" s="44">
        <f>MAX(H27-I27,0)</f>
        <v/>
      </c>
      <c r="K27" s="25">
        <f>IF(H27=0,0,I27/H27)</f>
        <v/>
      </c>
      <c r="L27" s="2" t="n"/>
    </row>
    <row r="28">
      <c r="A28" s="43" t="n">
        <v>46184</v>
      </c>
      <c r="B28" s="23" t="inlineStr">
        <is>
          <t>MLE-2</t>
        </is>
      </c>
      <c r="C28" s="23" t="inlineStr">
        <is>
          <t>MLE-2</t>
        </is>
      </c>
      <c r="D28" s="2" t="inlineStr">
        <is>
          <t>可靠性适配</t>
        </is>
      </c>
      <c r="E28" s="2" t="inlineStr">
        <is>
          <t>保持 production reliability 逻辑一致</t>
        </is>
      </c>
      <c r="F28" s="2" t="inlineStr">
        <is>
          <t>reliability 验证</t>
        </is>
      </c>
      <c r="G28" s="23" t="inlineStr">
        <is>
          <t>pending</t>
        </is>
      </c>
      <c r="H28" s="44" t="n">
        <v>10</v>
      </c>
      <c r="I28" s="44" t="n">
        <v>0</v>
      </c>
      <c r="J28" s="44">
        <f>MAX(H28-I28,0)</f>
        <v/>
      </c>
      <c r="K28" s="25">
        <f>IF(H28=0,0,I28/H28)</f>
        <v/>
      </c>
      <c r="L28" s="2" t="n"/>
    </row>
    <row r="29">
      <c r="A29" s="43" t="n">
        <v>46185</v>
      </c>
      <c r="B29" s="23" t="inlineStr">
        <is>
          <t>MLE-2</t>
        </is>
      </c>
      <c r="C29" s="23" t="inlineStr">
        <is>
          <t>MLE-2</t>
        </is>
      </c>
      <c r="D29" s="2" t="inlineStr">
        <is>
          <t>单元测试</t>
        </is>
      </c>
      <c r="E29" s="2" t="inlineStr">
        <is>
          <t>覆盖多产线分配核心函数</t>
        </is>
      </c>
      <c r="F29" s="2" t="inlineStr">
        <is>
          <t>M4 unit tests</t>
        </is>
      </c>
      <c r="G29" s="23" t="inlineStr">
        <is>
          <t>pending</t>
        </is>
      </c>
      <c r="H29" s="44" t="n">
        <v>10</v>
      </c>
      <c r="I29" s="44" t="n">
        <v>0</v>
      </c>
      <c r="J29" s="44">
        <f>MAX(H29-I29,0)</f>
        <v/>
      </c>
      <c r="K29" s="25">
        <f>IF(H29=0,0,I29/H29)</f>
        <v/>
      </c>
      <c r="L29" s="2" t="n"/>
    </row>
    <row r="30">
      <c r="A30" s="43" t="n">
        <v>46188</v>
      </c>
      <c r="B30" s="23" t="inlineStr">
        <is>
          <t>MLE-2</t>
        </is>
      </c>
      <c r="C30" s="23" t="inlineStr">
        <is>
          <t>MLE-2</t>
        </is>
      </c>
      <c r="D30" s="2" t="inlineStr">
        <is>
          <t>集成 M4</t>
        </is>
      </c>
      <c r="E30" s="2" t="inlineStr">
        <is>
          <t>接入 production_runner.py 主流程</t>
        </is>
      </c>
      <c r="F30" s="2" t="inlineStr">
        <is>
          <t>M4 集成代码</t>
        </is>
      </c>
      <c r="G30" s="23" t="inlineStr">
        <is>
          <t>pending</t>
        </is>
      </c>
      <c r="H30" s="44" t="n">
        <v>10</v>
      </c>
      <c r="I30" s="44" t="n">
        <v>0</v>
      </c>
      <c r="J30" s="44">
        <f>MAX(H30-I30,0)</f>
        <v/>
      </c>
      <c r="K30" s="25">
        <f>IF(H30=0,0,I30/H30)</f>
        <v/>
      </c>
      <c r="L30" s="2" t="n"/>
    </row>
    <row r="31">
      <c r="A31" s="43" t="n">
        <v>46189</v>
      </c>
      <c r="B31" s="23" t="inlineStr">
        <is>
          <t>MLE-2</t>
        </is>
      </c>
      <c r="C31" s="23" t="inlineStr">
        <is>
          <t>MLE-2</t>
        </is>
      </c>
      <c r="D31" s="2" t="inlineStr">
        <is>
          <t>边界场景</t>
        </is>
      </c>
      <c r="E31" s="2" t="inlineStr">
        <is>
          <t>测试无产线、单产线、多产线、产能为 0</t>
        </is>
      </c>
      <c r="F31" s="2" t="inlineStr">
        <is>
          <t>边界测试结果</t>
        </is>
      </c>
      <c r="G31" s="23" t="inlineStr">
        <is>
          <t>pending</t>
        </is>
      </c>
      <c r="H31" s="44" t="n">
        <v>10</v>
      </c>
      <c r="I31" s="44" t="n">
        <v>0</v>
      </c>
      <c r="J31" s="44">
        <f>MAX(H31-I31,0)</f>
        <v/>
      </c>
      <c r="K31" s="25">
        <f>IF(H31=0,0,I31/H31)</f>
        <v/>
      </c>
      <c r="L31" s="2" t="n"/>
    </row>
    <row r="32">
      <c r="A32" s="43" t="n">
        <v>46190</v>
      </c>
      <c r="B32" s="23" t="inlineStr">
        <is>
          <t>CDP-1</t>
        </is>
      </c>
      <c r="C32" s="23" t="inlineStr">
        <is>
          <t>CDP-1</t>
        </is>
      </c>
      <c r="D32" s="2" t="inlineStr">
        <is>
          <t>M4 长函数拆分</t>
        </is>
      </c>
      <c r="E32" s="2" t="inlineStr">
        <is>
          <t>拆分 M4 生产排程中的 1000+ 行/嵌套函数</t>
        </is>
      </c>
      <c r="F32" s="2" t="inlineStr">
        <is>
          <t>M4 refactor</t>
        </is>
      </c>
      <c r="G32" s="23" t="inlineStr">
        <is>
          <t>pending</t>
        </is>
      </c>
      <c r="H32" s="44" t="n">
        <v>10</v>
      </c>
      <c r="I32" s="44" t="n">
        <v>0</v>
      </c>
      <c r="J32" s="44">
        <f>MAX(H32-I32,0)</f>
        <v/>
      </c>
      <c r="K32" s="25">
        <f>IF(H32=0,0,I32/H32)</f>
        <v/>
      </c>
      <c r="L32" s="2" t="n"/>
    </row>
    <row r="33">
      <c r="A33" s="43" t="n">
        <v>46191</v>
      </c>
      <c r="B33" s="23" t="inlineStr">
        <is>
          <t>MLE-2</t>
        </is>
      </c>
      <c r="C33" s="23" t="inlineStr">
        <is>
          <t>MLE-2</t>
        </is>
      </c>
      <c r="D33" s="2" t="inlineStr">
        <is>
          <t>性能测试</t>
        </is>
      </c>
      <c r="E33" s="2" t="inlineStr">
        <is>
          <t>对比 M4 优化前后耗时</t>
        </is>
      </c>
      <c r="F33" s="2" t="inlineStr">
        <is>
          <t>M4 benchmark</t>
        </is>
      </c>
      <c r="G33" s="23" t="inlineStr">
        <is>
          <t>pending</t>
        </is>
      </c>
      <c r="H33" s="44" t="n">
        <v>10</v>
      </c>
      <c r="I33" s="44" t="n">
        <v>0</v>
      </c>
      <c r="J33" s="44">
        <f>MAX(H33-I33,0)</f>
        <v/>
      </c>
      <c r="K33" s="25">
        <f>IF(H33=0,0,I33/H33)</f>
        <v/>
      </c>
      <c r="L33" s="2" t="n"/>
    </row>
    <row r="34">
      <c r="A34" s="43" t="n">
        <v>46195</v>
      </c>
      <c r="B34" s="23" t="inlineStr">
        <is>
          <t>MLE-2</t>
        </is>
      </c>
      <c r="C34" s="23" t="inlineStr">
        <is>
          <t>MLE-2</t>
        </is>
      </c>
      <c r="D34" s="2" t="inlineStr">
        <is>
          <t>回归修复</t>
        </is>
      </c>
      <c r="E34" s="2" t="inlineStr">
        <is>
          <t>修复输出差异、排序差异、类型差异</t>
        </is>
      </c>
      <c r="F34" s="2" t="inlineStr">
        <is>
          <t>修复记录</t>
        </is>
      </c>
      <c r="G34" s="23" t="inlineStr">
        <is>
          <t>pending</t>
        </is>
      </c>
      <c r="H34" s="44" t="n">
        <v>10</v>
      </c>
      <c r="I34" s="44" t="n">
        <v>0</v>
      </c>
      <c r="J34" s="44">
        <f>MAX(H34-I34,0)</f>
        <v/>
      </c>
      <c r="K34" s="25">
        <f>IF(H34=0,0,I34/H34)</f>
        <v/>
      </c>
      <c r="L34" s="2" t="n"/>
    </row>
    <row r="35">
      <c r="A35" s="43" t="n">
        <v>46196</v>
      </c>
      <c r="B35" s="23" t="inlineStr">
        <is>
          <t>MLE-2</t>
        </is>
      </c>
      <c r="C35" s="23" t="inlineStr">
        <is>
          <t>MLE-2</t>
        </is>
      </c>
      <c r="D35" s="2" t="inlineStr">
        <is>
          <t>下游兼容</t>
        </is>
      </c>
      <c r="E35" s="2" t="inlineStr">
        <is>
          <t>验证 M4 输出传给 orchestrator / M5 不变</t>
        </is>
      </c>
      <c r="F35" s="2" t="inlineStr">
        <is>
          <t>兼容性报告</t>
        </is>
      </c>
      <c r="G35" s="23" t="inlineStr">
        <is>
          <t>pending</t>
        </is>
      </c>
      <c r="H35" s="44" t="n">
        <v>10</v>
      </c>
      <c r="I35" s="44" t="n">
        <v>0</v>
      </c>
      <c r="J35" s="44">
        <f>MAX(H35-I35,0)</f>
        <v/>
      </c>
      <c r="K35" s="25">
        <f>IF(H35=0,0,I35/H35)</f>
        <v/>
      </c>
      <c r="L35" s="2" t="n"/>
    </row>
    <row r="36">
      <c r="A36" s="43" t="n">
        <v>46197</v>
      </c>
      <c r="B36" s="23" t="inlineStr">
        <is>
          <t>MLE-2</t>
        </is>
      </c>
      <c r="C36" s="23" t="inlineStr">
        <is>
          <t>MLE-2</t>
        </is>
      </c>
      <c r="D36" s="2" t="inlineStr">
        <is>
          <t>验证报告</t>
        </is>
      </c>
      <c r="E36" s="2" t="inlineStr">
        <is>
          <t>整理多产线用例与结果</t>
        </is>
      </c>
      <c r="F36" s="2" t="inlineStr">
        <is>
          <t>M4 验证报告</t>
        </is>
      </c>
      <c r="G36" s="23" t="inlineStr">
        <is>
          <t>pending</t>
        </is>
      </c>
      <c r="H36" s="44" t="n">
        <v>10</v>
      </c>
      <c r="I36" s="44" t="n">
        <v>0</v>
      </c>
      <c r="J36" s="44">
        <f>MAX(H36-I36,0)</f>
        <v/>
      </c>
      <c r="K36" s="25">
        <f>IF(H36=0,0,I36/H36)</f>
        <v/>
      </c>
      <c r="L36" s="2" t="n"/>
    </row>
    <row r="37">
      <c r="A37" s="43" t="n">
        <v>46198</v>
      </c>
      <c r="B37" s="23" t="inlineStr">
        <is>
          <t>MLE-2</t>
        </is>
      </c>
      <c r="C37" s="23" t="inlineStr">
        <is>
          <t>MLE-2</t>
        </is>
      </c>
      <c r="D37" s="2" t="inlineStr">
        <is>
          <t>代码审查</t>
        </is>
      </c>
      <c r="E37" s="2" t="inlineStr">
        <is>
          <t>Review 多产线实现、命名、类型、性能</t>
        </is>
      </c>
      <c r="F37" s="2" t="inlineStr">
        <is>
          <t>review notes</t>
        </is>
      </c>
      <c r="G37" s="23" t="inlineStr">
        <is>
          <t>pending</t>
        </is>
      </c>
      <c r="H37" s="44" t="n">
        <v>10</v>
      </c>
      <c r="I37" s="44" t="n">
        <v>0</v>
      </c>
      <c r="J37" s="44">
        <f>MAX(H37-I37,0)</f>
        <v/>
      </c>
      <c r="K37" s="25">
        <f>IF(H37=0,0,I37/H37)</f>
        <v/>
      </c>
      <c r="L37" s="2" t="n"/>
    </row>
    <row r="38">
      <c r="A38" s="43" t="n">
        <v>46199</v>
      </c>
      <c r="B38" s="23" t="inlineStr">
        <is>
          <t>MLE-2</t>
        </is>
      </c>
      <c r="C38" s="23" t="inlineStr">
        <is>
          <t>MLE-2</t>
        </is>
      </c>
      <c r="D38" s="2" t="inlineStr">
        <is>
          <t>缺陷修复</t>
        </is>
      </c>
      <c r="E38" s="2" t="inlineStr">
        <is>
          <t>修复 review 问题</t>
        </is>
      </c>
      <c r="F38" s="2" t="inlineStr">
        <is>
          <t>修复 PR</t>
        </is>
      </c>
      <c r="G38" s="23" t="inlineStr">
        <is>
          <t>pending</t>
        </is>
      </c>
      <c r="H38" s="44" t="n">
        <v>10</v>
      </c>
      <c r="I38" s="44" t="n">
        <v>0</v>
      </c>
      <c r="J38" s="44">
        <f>MAX(H38-I38,0)</f>
        <v/>
      </c>
      <c r="K38" s="25">
        <f>IF(H38=0,0,I38/H38)</f>
        <v/>
      </c>
      <c r="L38" s="2" t="n"/>
    </row>
    <row r="39">
      <c r="A39" s="43" t="n">
        <v>46202</v>
      </c>
      <c r="B39" s="23" t="inlineStr">
        <is>
          <t>MLE-2</t>
        </is>
      </c>
      <c r="C39" s="23" t="inlineStr">
        <is>
          <t>MLE-2</t>
        </is>
      </c>
      <c r="D39" s="2" t="inlineStr">
        <is>
          <t>Phase 2 验收</t>
        </is>
      </c>
      <c r="E39" s="2" t="inlineStr">
        <is>
          <t>M4 多产线逻辑冻结</t>
        </is>
      </c>
      <c r="F39" s="2" t="inlineStr">
        <is>
          <t>M4 验收记录</t>
        </is>
      </c>
      <c r="G39" s="23" t="inlineStr">
        <is>
          <t>pending</t>
        </is>
      </c>
      <c r="H39" s="44" t="n">
        <v>10</v>
      </c>
      <c r="I39" s="44" t="n">
        <v>0</v>
      </c>
      <c r="J39" s="44">
        <f>MAX(H39-I39,0)</f>
        <v/>
      </c>
      <c r="K39" s="25">
        <f>IF(H39=0,0,I39/H39)</f>
        <v/>
      </c>
      <c r="L39" s="2" t="n"/>
    </row>
    <row r="40">
      <c r="A40" s="43" t="n">
        <v>46204</v>
      </c>
      <c r="B40" s="23" t="inlineStr">
        <is>
          <t>MLE-3</t>
        </is>
      </c>
      <c r="C40" s="23" t="inlineStr">
        <is>
          <t>MLE-3</t>
        </is>
      </c>
      <c r="D40" s="2" t="inlineStr">
        <is>
          <t>filtered df 审计</t>
        </is>
      </c>
      <c r="E40" s="2" t="inlineStr">
        <is>
          <t>搜索 chained indexing、filtered df 再访问模式</t>
        </is>
      </c>
      <c r="F40" s="2" t="inlineStr">
        <is>
          <t>问题清单</t>
        </is>
      </c>
      <c r="G40" s="23" t="inlineStr">
        <is>
          <t>pending</t>
        </is>
      </c>
      <c r="H40" s="44" t="n">
        <v>10</v>
      </c>
      <c r="I40" s="44" t="n">
        <v>0</v>
      </c>
      <c r="J40" s="44">
        <f>MAX(H40-I40,0)</f>
        <v/>
      </c>
      <c r="K40" s="25">
        <f>IF(H40=0,0,I40/H40)</f>
        <v/>
      </c>
      <c r="L40" s="2" t="n"/>
    </row>
    <row r="41">
      <c r="A41" s="43" t="n">
        <v>46205</v>
      </c>
      <c r="B41" s="23" t="inlineStr">
        <is>
          <t>MLE-3</t>
        </is>
      </c>
      <c r="C41" s="23" t="inlineStr">
        <is>
          <t>MLE-3</t>
        </is>
      </c>
      <c r="D41" s="2" t="inlineStr">
        <is>
          <t>访问规范制定</t>
        </is>
      </c>
      <c r="E41" s="2" t="inlineStr">
        <is>
          <t>明确 `.loc`、`.copy()`、索引缓存规范</t>
        </is>
      </c>
      <c r="F41" s="2" t="inlineStr">
        <is>
          <t>DataFrame 规范</t>
        </is>
      </c>
      <c r="G41" s="23" t="inlineStr">
        <is>
          <t>pending</t>
        </is>
      </c>
      <c r="H41" s="44" t="n">
        <v>10</v>
      </c>
      <c r="I41" s="44" t="n">
        <v>0</v>
      </c>
      <c r="J41" s="44">
        <f>MAX(H41-I41,0)</f>
        <v/>
      </c>
      <c r="K41" s="25">
        <f>IF(H41=0,0,I41/H41)</f>
        <v/>
      </c>
      <c r="L41" s="2" t="n"/>
    </row>
    <row r="42">
      <c r="A42" s="43" t="n">
        <v>46206</v>
      </c>
      <c r="B42" s="23" t="inlineStr">
        <is>
          <t>MLE-3</t>
        </is>
      </c>
      <c r="C42" s="23" t="inlineStr">
        <is>
          <t>MLE-3</t>
        </is>
      </c>
      <c r="D42" s="2" t="inlineStr">
        <is>
          <t>修复 M1/M3</t>
        </is>
      </c>
      <c r="E42" s="2" t="inlineStr">
        <is>
          <t>修复 M1/M3 中 filtered dataframe 风险点</t>
        </is>
      </c>
      <c r="F42" s="2" t="inlineStr">
        <is>
          <t>修复提交</t>
        </is>
      </c>
      <c r="G42" s="23" t="inlineStr">
        <is>
          <t>pending</t>
        </is>
      </c>
      <c r="H42" s="44" t="n">
        <v>10</v>
      </c>
      <c r="I42" s="44" t="n">
        <v>0</v>
      </c>
      <c r="J42" s="44">
        <f>MAX(H42-I42,0)</f>
        <v/>
      </c>
      <c r="K42" s="25">
        <f>IF(H42=0,0,I42/H42)</f>
        <v/>
      </c>
      <c r="L42" s="2" t="n"/>
    </row>
    <row r="43">
      <c r="A43" s="43" t="n">
        <v>46209</v>
      </c>
      <c r="B43" s="23" t="inlineStr">
        <is>
          <t>MLE-3</t>
        </is>
      </c>
      <c r="C43" s="23" t="inlineStr">
        <is>
          <t>MLE-3</t>
        </is>
      </c>
      <c r="D43" s="2" t="inlineStr">
        <is>
          <t>修复 M4/M5</t>
        </is>
      </c>
      <c r="E43" s="2" t="inlineStr">
        <is>
          <t>修复 M4/M5 中 filtered dataframe 风险点</t>
        </is>
      </c>
      <c r="F43" s="2" t="inlineStr">
        <is>
          <t>修复提交</t>
        </is>
      </c>
      <c r="G43" s="23" t="inlineStr">
        <is>
          <t>pending</t>
        </is>
      </c>
      <c r="H43" s="44" t="n">
        <v>10</v>
      </c>
      <c r="I43" s="44" t="n">
        <v>0</v>
      </c>
      <c r="J43" s="44">
        <f>MAX(H43-I43,0)</f>
        <v/>
      </c>
      <c r="K43" s="25">
        <f>IF(H43=0,0,I43/H43)</f>
        <v/>
      </c>
      <c r="L43" s="2" t="n"/>
    </row>
    <row r="44">
      <c r="A44" s="43" t="n">
        <v>46210</v>
      </c>
      <c r="B44" s="23" t="inlineStr">
        <is>
          <t>MLE-3</t>
        </is>
      </c>
      <c r="C44" s="23" t="inlineStr">
        <is>
          <t>MLE-3</t>
        </is>
      </c>
      <c r="D44" s="2" t="inlineStr">
        <is>
          <t>回归验证</t>
        </is>
      </c>
      <c r="E44" s="2" t="inlineStr">
        <is>
          <t>确认输出无变化</t>
        </is>
      </c>
      <c r="F44" s="2" t="inlineStr">
        <is>
          <t>diff 报告</t>
        </is>
      </c>
      <c r="G44" s="23" t="inlineStr">
        <is>
          <t>pending</t>
        </is>
      </c>
      <c r="H44" s="44" t="n">
        <v>10</v>
      </c>
      <c r="I44" s="44" t="n">
        <v>0</v>
      </c>
      <c r="J44" s="44">
        <f>MAX(H44-I44,0)</f>
        <v/>
      </c>
      <c r="K44" s="25">
        <f>IF(H44=0,0,I44/H44)</f>
        <v/>
      </c>
      <c r="L44" s="2" t="n"/>
    </row>
    <row r="45">
      <c r="A45" s="43" t="n">
        <v>46204</v>
      </c>
      <c r="B45" s="23" t="inlineStr">
        <is>
          <t>VAL-1</t>
        </is>
      </c>
      <c r="C45" s="23" t="inlineStr">
        <is>
          <t>VAL-1</t>
        </is>
      </c>
      <c r="D45" s="2" t="inlineStr">
        <is>
          <t>输入校验梳理</t>
        </is>
      </c>
      <c r="E45" s="2" t="inlineStr">
        <is>
          <t>整理所有输入表 schema、必填字段</t>
        </is>
      </c>
      <c r="F45" s="2" t="inlineStr">
        <is>
          <t>schema 清单</t>
        </is>
      </c>
      <c r="G45" s="23" t="inlineStr">
        <is>
          <t>pending</t>
        </is>
      </c>
      <c r="H45" s="44" t="n">
        <v>10</v>
      </c>
      <c r="I45" s="44" t="n">
        <v>0</v>
      </c>
      <c r="J45" s="44">
        <f>MAX(H45-I45,0)</f>
        <v/>
      </c>
      <c r="K45" s="25">
        <f>IF(H45=0,0,I45/H45)</f>
        <v/>
      </c>
      <c r="L45" s="2" t="n"/>
    </row>
    <row r="46">
      <c r="A46" s="43" t="n">
        <v>46205</v>
      </c>
      <c r="B46" s="23" t="inlineStr">
        <is>
          <t>VAL-1</t>
        </is>
      </c>
      <c r="C46" s="23" t="inlineStr">
        <is>
          <t>VAL-1</t>
        </is>
      </c>
      <c r="D46" s="2" t="inlineStr">
        <is>
          <t>KNIME 逻辑迁移</t>
        </is>
      </c>
      <c r="E46" s="2" t="inlineStr">
        <is>
          <t>将已有 KNIME 校验逻辑映射到 Python</t>
        </is>
      </c>
      <c r="F46" s="2" t="inlineStr">
        <is>
          <t>迁移映射表</t>
        </is>
      </c>
      <c r="G46" s="23" t="inlineStr">
        <is>
          <t>pending</t>
        </is>
      </c>
      <c r="H46" s="44" t="n">
        <v>10</v>
      </c>
      <c r="I46" s="44" t="n">
        <v>0</v>
      </c>
      <c r="J46" s="44">
        <f>MAX(H46-I46,0)</f>
        <v/>
      </c>
      <c r="K46" s="25">
        <f>IF(H46=0,0,I46/H46)</f>
        <v/>
      </c>
      <c r="L46" s="2" t="n"/>
    </row>
    <row r="47">
      <c r="A47" s="43" t="n">
        <v>46206</v>
      </c>
      <c r="B47" s="23" t="inlineStr">
        <is>
          <t>VAL-1</t>
        </is>
      </c>
      <c r="C47" s="23" t="inlineStr">
        <is>
          <t>VAL-1</t>
        </is>
      </c>
      <c r="D47" s="2" t="inlineStr">
        <is>
          <t>实现基础校验</t>
        </is>
      </c>
      <c r="E47" s="2" t="inlineStr">
        <is>
          <t>空值、类型、日期、数值范围检查</t>
        </is>
      </c>
      <c r="F47" s="2" t="inlineStr">
        <is>
          <t>input validator</t>
        </is>
      </c>
      <c r="G47" s="23" t="inlineStr">
        <is>
          <t>pending</t>
        </is>
      </c>
      <c r="H47" s="44" t="n">
        <v>10</v>
      </c>
      <c r="I47" s="44" t="n">
        <v>0</v>
      </c>
      <c r="J47" s="44">
        <f>MAX(H47-I47,0)</f>
        <v/>
      </c>
      <c r="K47" s="25">
        <f>IF(H47=0,0,I47/H47)</f>
        <v/>
      </c>
      <c r="L47" s="2" t="n"/>
    </row>
    <row r="48">
      <c r="A48" s="43" t="n">
        <v>46209</v>
      </c>
      <c r="B48" s="23" t="inlineStr">
        <is>
          <t>VAL-1</t>
        </is>
      </c>
      <c r="C48" s="23" t="inlineStr">
        <is>
          <t>VAL-1</t>
        </is>
      </c>
      <c r="D48" s="2" t="inlineStr">
        <is>
          <t>实现业务校验</t>
        </is>
      </c>
      <c r="E48" s="2" t="inlineStr">
        <is>
          <t>material/location/network/leadtime 一致性检查</t>
        </is>
      </c>
      <c r="F48" s="2" t="inlineStr">
        <is>
          <t>business rules</t>
        </is>
      </c>
      <c r="G48" s="23" t="inlineStr">
        <is>
          <t>pending</t>
        </is>
      </c>
      <c r="H48" s="44" t="n">
        <v>10</v>
      </c>
      <c r="I48" s="44" t="n">
        <v>0</v>
      </c>
      <c r="J48" s="44">
        <f>MAX(H48-I48,0)</f>
        <v/>
      </c>
      <c r="K48" s="25">
        <f>IF(H48=0,0,I48/H48)</f>
        <v/>
      </c>
      <c r="L48" s="2" t="n"/>
    </row>
    <row r="49">
      <c r="A49" s="43" t="n">
        <v>46210</v>
      </c>
      <c r="B49" s="23" t="inlineStr">
        <is>
          <t>VAL-1</t>
        </is>
      </c>
      <c r="C49" s="23" t="inlineStr">
        <is>
          <t>VAL-1</t>
        </is>
      </c>
      <c r="D49" s="2" t="inlineStr">
        <is>
          <t>输入校验测试</t>
        </is>
      </c>
      <c r="E49" s="2" t="inlineStr">
        <is>
          <t>构造坏数据，验证报错清晰</t>
        </is>
      </c>
      <c r="F49" s="2" t="inlineStr">
        <is>
          <t>validation test</t>
        </is>
      </c>
      <c r="G49" s="23" t="inlineStr">
        <is>
          <t>pending</t>
        </is>
      </c>
      <c r="H49" s="44" t="n">
        <v>10</v>
      </c>
      <c r="I49" s="44" t="n">
        <v>0</v>
      </c>
      <c r="J49" s="44">
        <f>MAX(H49-I49,0)</f>
        <v/>
      </c>
      <c r="K49" s="25">
        <f>IF(H49=0,0,I49/H49)</f>
        <v/>
      </c>
      <c r="L49" s="2" t="n"/>
    </row>
    <row r="50">
      <c r="A50" s="43" t="n">
        <v>46219</v>
      </c>
      <c r="B50" s="23" t="inlineStr">
        <is>
          <t>MLE-4</t>
        </is>
      </c>
      <c r="C50" s="23" t="inlineStr">
        <is>
          <t>MLE-4</t>
        </is>
      </c>
      <c r="D50" s="2" t="inlineStr">
        <is>
          <t>append 审计</t>
        </is>
      </c>
      <c r="E50" s="2" t="inlineStr">
        <is>
          <t>搜索逐日 append / 循环 concat</t>
        </is>
      </c>
      <c r="F50" s="2" t="inlineStr">
        <is>
          <t>append 清单</t>
        </is>
      </c>
      <c r="G50" s="23" t="inlineStr">
        <is>
          <t>pending</t>
        </is>
      </c>
      <c r="H50" s="44" t="n">
        <v>10</v>
      </c>
      <c r="I50" s="44" t="n">
        <v>0</v>
      </c>
      <c r="J50" s="44">
        <f>MAX(H50-I50,0)</f>
        <v/>
      </c>
      <c r="K50" s="25">
        <f>IF(H50=0,0,I50/H50)</f>
        <v/>
      </c>
      <c r="L50" s="2" t="n"/>
    </row>
    <row r="51">
      <c r="A51" s="43" t="n">
        <v>46220</v>
      </c>
      <c r="B51" s="23" t="inlineStr">
        <is>
          <t>MLE-4</t>
        </is>
      </c>
      <c r="C51" s="23" t="inlineStr">
        <is>
          <t>MLE-4</t>
        </is>
      </c>
      <c r="D51" s="2" t="inlineStr">
        <is>
          <t>设计替代方案</t>
        </is>
      </c>
      <c r="E51" s="2" t="inlineStr">
        <is>
          <t>list 累积、一次 concat、NumPy 预分配</t>
        </is>
      </c>
      <c r="F51" s="2" t="inlineStr">
        <is>
          <t>优化方案</t>
        </is>
      </c>
      <c r="G51" s="23" t="inlineStr">
        <is>
          <t>pending</t>
        </is>
      </c>
      <c r="H51" s="44" t="n">
        <v>10</v>
      </c>
      <c r="I51" s="44" t="n">
        <v>0</v>
      </c>
      <c r="J51" s="44">
        <f>MAX(H51-I51,0)</f>
        <v/>
      </c>
      <c r="K51" s="25">
        <f>IF(H51=0,0,I51/H51)</f>
        <v/>
      </c>
      <c r="L51" s="2" t="n"/>
    </row>
    <row r="52">
      <c r="A52" s="43" t="n">
        <v>46223</v>
      </c>
      <c r="B52" s="23" t="inlineStr">
        <is>
          <t>MLE-4</t>
        </is>
      </c>
      <c r="C52" s="23" t="inlineStr">
        <is>
          <t>MLE-4</t>
        </is>
      </c>
      <c r="D52" s="2" t="inlineStr">
        <is>
          <t>改造 M1 append</t>
        </is>
      </c>
      <c r="E52" s="2" t="inlineStr">
        <is>
          <t>替换 M1 中逐日 append 模式</t>
        </is>
      </c>
      <c r="F52" s="2" t="inlineStr">
        <is>
          <t>M1 append-free</t>
        </is>
      </c>
      <c r="G52" s="23" t="inlineStr">
        <is>
          <t>pending</t>
        </is>
      </c>
      <c r="H52" s="44" t="n">
        <v>10</v>
      </c>
      <c r="I52" s="44" t="n">
        <v>0</v>
      </c>
      <c r="J52" s="44">
        <f>MAX(H52-I52,0)</f>
        <v/>
      </c>
      <c r="K52" s="25">
        <f>IF(H52=0,0,I52/H52)</f>
        <v/>
      </c>
      <c r="L52" s="2" t="n"/>
    </row>
    <row r="53">
      <c r="A53" s="43" t="n">
        <v>46224</v>
      </c>
      <c r="B53" s="23" t="inlineStr">
        <is>
          <t>MLE-4</t>
        </is>
      </c>
      <c r="C53" s="23" t="inlineStr">
        <is>
          <t>MLE-4</t>
        </is>
      </c>
      <c r="D53" s="2" t="inlineStr">
        <is>
          <t>改造 M4/M5 append</t>
        </is>
      </c>
      <c r="E53" s="2" t="inlineStr">
        <is>
          <t>替换 M4/M5 中高频 append</t>
        </is>
      </c>
      <c r="F53" s="2" t="inlineStr">
        <is>
          <t>M4/M5 append-free</t>
        </is>
      </c>
      <c r="G53" s="23" t="inlineStr">
        <is>
          <t>pending</t>
        </is>
      </c>
      <c r="H53" s="44" t="n">
        <v>10</v>
      </c>
      <c r="I53" s="44" t="n">
        <v>0</v>
      </c>
      <c r="J53" s="44">
        <f>MAX(H53-I53,0)</f>
        <v/>
      </c>
      <c r="K53" s="25">
        <f>IF(H53=0,0,I53/H53)</f>
        <v/>
      </c>
      <c r="L53" s="2" t="n"/>
    </row>
    <row r="54">
      <c r="A54" s="43" t="n">
        <v>46225</v>
      </c>
      <c r="B54" s="23" t="inlineStr">
        <is>
          <t>MLE-4</t>
        </is>
      </c>
      <c r="C54" s="23" t="inlineStr">
        <is>
          <t>MLE-4</t>
        </is>
      </c>
      <c r="D54" s="2" t="inlineStr">
        <is>
          <t>性能验证</t>
        </is>
      </c>
      <c r="E54" s="2" t="inlineStr">
        <is>
          <t>对比 append 改造前后耗时和内存</t>
        </is>
      </c>
      <c r="F54" s="2" t="inlineStr">
        <is>
          <t>性能报告</t>
        </is>
      </c>
      <c r="G54" s="23" t="inlineStr">
        <is>
          <t>pending</t>
        </is>
      </c>
      <c r="H54" s="44" t="n">
        <v>10</v>
      </c>
      <c r="I54" s="44" t="n">
        <v>0</v>
      </c>
      <c r="J54" s="44">
        <f>MAX(H54-I54,0)</f>
        <v/>
      </c>
      <c r="K54" s="25">
        <f>IF(H54=0,0,I54/H54)</f>
        <v/>
      </c>
      <c r="L54" s="2" t="n"/>
    </row>
    <row r="55">
      <c r="A55" s="43" t="n">
        <v>46219</v>
      </c>
      <c r="B55" s="23" t="inlineStr">
        <is>
          <t>VAL-2</t>
        </is>
      </c>
      <c r="C55" s="23" t="inlineStr">
        <is>
          <t>VAL-2</t>
        </is>
      </c>
      <c r="D55" s="2" t="inlineStr">
        <is>
          <t>中间表定义</t>
        </is>
      </c>
      <c r="E55" s="2" t="inlineStr">
        <is>
          <t>定义 M1/M3/M4/M5 中间输出检查点</t>
        </is>
      </c>
      <c r="F55" s="2" t="inlineStr">
        <is>
          <t>checkpoint 清单</t>
        </is>
      </c>
      <c r="G55" s="23" t="inlineStr">
        <is>
          <t>pending</t>
        </is>
      </c>
      <c r="H55" s="44" t="n">
        <v>10</v>
      </c>
      <c r="I55" s="44" t="n">
        <v>0</v>
      </c>
      <c r="J55" s="44">
        <f>MAX(H55-I55,0)</f>
        <v/>
      </c>
      <c r="K55" s="25">
        <f>IF(H55=0,0,I55/H55)</f>
        <v/>
      </c>
      <c r="L55" s="2" t="n"/>
    </row>
    <row r="56">
      <c r="A56" s="43" t="n">
        <v>46220</v>
      </c>
      <c r="B56" s="23" t="inlineStr">
        <is>
          <t>VAL-2</t>
        </is>
      </c>
      <c r="C56" s="23" t="inlineStr">
        <is>
          <t>VAL-2</t>
        </is>
      </c>
      <c r="D56" s="2" t="inlineStr">
        <is>
          <t>中间校验实现</t>
        </is>
      </c>
      <c r="E56" s="2" t="inlineStr">
        <is>
          <t>检查负数、重复 key、缺失列、异常日期</t>
        </is>
      </c>
      <c r="F56" s="2" t="inlineStr">
        <is>
          <t>intermediate validator</t>
        </is>
      </c>
      <c r="G56" s="23" t="inlineStr">
        <is>
          <t>pending</t>
        </is>
      </c>
      <c r="H56" s="44" t="n">
        <v>10</v>
      </c>
      <c r="I56" s="44" t="n">
        <v>0</v>
      </c>
      <c r="J56" s="44">
        <f>MAX(H56-I56,0)</f>
        <v/>
      </c>
      <c r="K56" s="25">
        <f>IF(H56=0,0,I56/H56)</f>
        <v/>
      </c>
      <c r="L56" s="2" t="n"/>
    </row>
    <row r="57">
      <c r="A57" s="43" t="n">
        <v>46223</v>
      </c>
      <c r="B57" s="23" t="inlineStr">
        <is>
          <t>VAL-2</t>
        </is>
      </c>
      <c r="C57" s="23" t="inlineStr">
        <is>
          <t>VAL-2</t>
        </is>
      </c>
      <c r="D57" s="2" t="inlineStr">
        <is>
          <t>集成校验</t>
        </is>
      </c>
      <c r="E57" s="2" t="inlineStr">
        <is>
          <t>将校验接入每日流程或独立脚本</t>
        </is>
      </c>
      <c r="F57" s="2" t="inlineStr">
        <is>
          <t>validation runner</t>
        </is>
      </c>
      <c r="G57" s="23" t="inlineStr">
        <is>
          <t>pending</t>
        </is>
      </c>
      <c r="H57" s="44" t="n">
        <v>10</v>
      </c>
      <c r="I57" s="44" t="n">
        <v>0</v>
      </c>
      <c r="J57" s="44">
        <f>MAX(H57-I57,0)</f>
        <v/>
      </c>
      <c r="K57" s="25">
        <f>IF(H57=0,0,I57/H57)</f>
        <v/>
      </c>
      <c r="L57" s="2" t="n"/>
    </row>
    <row r="58">
      <c r="A58" s="43" t="n">
        <v>46224</v>
      </c>
      <c r="B58" s="23" t="inlineStr">
        <is>
          <t>VAL-2</t>
        </is>
      </c>
      <c r="C58" s="23" t="inlineStr">
        <is>
          <t>VAL-2</t>
        </is>
      </c>
      <c r="D58" s="2" t="inlineStr">
        <is>
          <t>校验报告</t>
        </is>
      </c>
      <c r="E58" s="2" t="inlineStr">
        <is>
          <t>输出 Excel/CSV validation report</t>
        </is>
      </c>
      <c r="F58" s="2" t="inlineStr">
        <is>
          <t>validation report</t>
        </is>
      </c>
      <c r="G58" s="23" t="inlineStr">
        <is>
          <t>pending</t>
        </is>
      </c>
      <c r="H58" s="44" t="n">
        <v>10</v>
      </c>
      <c r="I58" s="44" t="n">
        <v>0</v>
      </c>
      <c r="J58" s="44">
        <f>MAX(H58-I58,0)</f>
        <v/>
      </c>
      <c r="K58" s="25">
        <f>IF(H58=0,0,I58/H58)</f>
        <v/>
      </c>
      <c r="L58" s="2" t="n"/>
    </row>
    <row r="59">
      <c r="A59" s="43" t="n">
        <v>46227</v>
      </c>
      <c r="B59" s="23" t="inlineStr">
        <is>
          <t>MLE/VAL</t>
        </is>
      </c>
      <c r="C59" s="23" t="inlineStr">
        <is>
          <t>VAL-2</t>
        </is>
      </c>
      <c r="D59" s="2" t="inlineStr">
        <is>
          <t>7 月验收</t>
        </is>
      </c>
      <c r="E59" s="2" t="inlineStr">
        <is>
          <t>汇总 DataFrame 优化与 validation 结果</t>
        </is>
      </c>
      <c r="F59" s="2" t="inlineStr">
        <is>
          <t>7 月验收记录</t>
        </is>
      </c>
      <c r="G59" s="23" t="inlineStr">
        <is>
          <t>pending</t>
        </is>
      </c>
      <c r="H59" s="44" t="n">
        <v>10</v>
      </c>
      <c r="I59" s="44" t="n">
        <v>0</v>
      </c>
      <c r="J59" s="44">
        <f>MAX(H59-I59,0)</f>
        <v/>
      </c>
      <c r="K59" s="25">
        <f>IF(H59=0,0,I59/H59)</f>
        <v/>
      </c>
      <c r="L59" s="2" t="n"/>
    </row>
    <row r="60">
      <c r="A60" s="43" t="n">
        <v>46237</v>
      </c>
      <c r="B60" s="23" t="inlineStr">
        <is>
          <t>TEST-1</t>
        </is>
      </c>
      <c r="C60" s="23" t="inlineStr">
        <is>
          <t>TEST-1</t>
        </is>
      </c>
      <c r="D60" s="2" t="inlineStr">
        <is>
          <t>E2E 网络扩展</t>
        </is>
      </c>
      <c r="E60" s="2" t="inlineStr">
        <is>
          <t>增加多 SKU、多地点、多产线场景</t>
        </is>
      </c>
      <c r="F60" s="2" t="inlineStr">
        <is>
          <t>extended network</t>
        </is>
      </c>
      <c r="G60" s="23" t="inlineStr">
        <is>
          <t>pending</t>
        </is>
      </c>
      <c r="H60" s="44" t="n">
        <v>10</v>
      </c>
      <c r="I60" s="44" t="n">
        <v>0</v>
      </c>
      <c r="J60" s="44">
        <f>MAX(H65-I65,0)</f>
        <v/>
      </c>
      <c r="K60" s="25">
        <f>IF(H65=0,0,I65/H65)</f>
        <v/>
      </c>
      <c r="L60" s="2" t="n"/>
    </row>
    <row r="61">
      <c r="A61" s="43" t="n">
        <v>46238</v>
      </c>
      <c r="B61" s="23" t="inlineStr">
        <is>
          <t>TEST-1</t>
        </is>
      </c>
      <c r="C61" s="23" t="inlineStr">
        <is>
          <t>TEST-1</t>
        </is>
      </c>
      <c r="D61" s="2" t="inlineStr">
        <is>
          <t>M1/M3 验证</t>
        </is>
      </c>
      <c r="E61" s="2" t="inlineStr">
        <is>
          <t>检查订单、供需日志、净需求流转</t>
        </is>
      </c>
      <c r="F61" s="2" t="inlineStr">
        <is>
          <t>M1/M3 report</t>
        </is>
      </c>
      <c r="G61" s="23" t="inlineStr">
        <is>
          <t>pending</t>
        </is>
      </c>
      <c r="H61" s="44" t="n">
        <v>10</v>
      </c>
      <c r="I61" s="44" t="n">
        <v>0</v>
      </c>
      <c r="J61" s="44">
        <f>MAX(H66-I66,0)</f>
        <v/>
      </c>
      <c r="K61" s="25">
        <f>IF(H66=0,0,I66/H66)</f>
        <v/>
      </c>
      <c r="L61" s="2" t="n"/>
    </row>
    <row r="62">
      <c r="A62" s="43" t="n">
        <v>46239</v>
      </c>
      <c r="B62" s="23" t="inlineStr">
        <is>
          <t>TEST-1</t>
        </is>
      </c>
      <c r="C62" s="23" t="inlineStr">
        <is>
          <t>TEST-1</t>
        </is>
      </c>
      <c r="D62" s="2" t="inlineStr">
        <is>
          <t>M4/M5 验证</t>
        </is>
      </c>
      <c r="E62" s="2" t="inlineStr">
        <is>
          <t>检查生产计划、调拨计划</t>
        </is>
      </c>
      <c r="F62" s="2" t="inlineStr">
        <is>
          <t>M4/M5 report</t>
        </is>
      </c>
      <c r="G62" s="23" t="inlineStr">
        <is>
          <t>pending</t>
        </is>
      </c>
      <c r="H62" s="44" t="n">
        <v>10</v>
      </c>
      <c r="I62" s="44" t="n">
        <v>0</v>
      </c>
      <c r="J62" s="44">
        <f>MAX(H67-I67,0)</f>
        <v/>
      </c>
      <c r="K62" s="25">
        <f>IF(H67=0,0,I67/H67)</f>
        <v/>
      </c>
      <c r="L62" s="2" t="n"/>
    </row>
    <row r="63">
      <c r="A63" s="43" t="n">
        <v>46240</v>
      </c>
      <c r="B63" s="23" t="inlineStr">
        <is>
          <t>TEST-1</t>
        </is>
      </c>
      <c r="C63" s="23" t="inlineStr">
        <is>
          <t>TEST-1</t>
        </is>
      </c>
      <c r="D63" s="2" t="inlineStr">
        <is>
          <t>M6/库存验证</t>
        </is>
      </c>
      <c r="E63" s="2" t="inlineStr">
        <is>
          <t>检查物流、GR、库存平衡</t>
        </is>
      </c>
      <c r="F63" s="2" t="inlineStr">
        <is>
          <t>M6/inventory report</t>
        </is>
      </c>
      <c r="G63" s="23" t="inlineStr">
        <is>
          <t>pending</t>
        </is>
      </c>
      <c r="H63" s="44" t="n">
        <v>10</v>
      </c>
      <c r="I63" s="44" t="n">
        <v>0</v>
      </c>
      <c r="J63" s="44">
        <f>MAX(H68-I68,0)</f>
        <v/>
      </c>
      <c r="K63" s="25">
        <f>IF(H68=0,0,I68/H68)</f>
        <v/>
      </c>
      <c r="L63" s="2" t="n"/>
    </row>
    <row r="64">
      <c r="A64" s="43" t="n">
        <v>46241</v>
      </c>
      <c r="B64" s="23" t="inlineStr">
        <is>
          <t>TEST-1</t>
        </is>
      </c>
      <c r="C64" s="23" t="inlineStr">
        <is>
          <t>TEST-1</t>
        </is>
      </c>
      <c r="D64" s="2" t="inlineStr">
        <is>
          <t>E2E 修复</t>
        </is>
      </c>
      <c r="E64" s="2" t="inlineStr">
        <is>
          <t>修复端到端差异</t>
        </is>
      </c>
      <c r="F64" s="2" t="inlineStr">
        <is>
          <t>修复记录</t>
        </is>
      </c>
      <c r="G64" s="23" t="inlineStr">
        <is>
          <t>pending</t>
        </is>
      </c>
      <c r="H64" s="44" t="n">
        <v>10</v>
      </c>
      <c r="I64" s="44" t="n">
        <v>0</v>
      </c>
      <c r="J64" s="44">
        <f>MAX(H69-I69,0)</f>
        <v/>
      </c>
      <c r="K64" s="25">
        <f>IF(H69=0,0,I69/H69)</f>
        <v/>
      </c>
      <c r="L64" s="2" t="n"/>
    </row>
    <row r="65">
      <c r="A65" s="43" t="n">
        <v>46244</v>
      </c>
      <c r="B65" s="23" t="inlineStr">
        <is>
          <t>TEST-1</t>
        </is>
      </c>
      <c r="C65" s="23" t="inlineStr">
        <is>
          <t>TEST-1</t>
        </is>
      </c>
      <c r="D65" s="2" t="inlineStr">
        <is>
          <t>30 天测试</t>
        </is>
      </c>
      <c r="E65" s="2" t="inlineStr">
        <is>
          <t>跑 30 天 E2E</t>
        </is>
      </c>
      <c r="F65" s="2" t="inlineStr">
        <is>
          <t>30-day output</t>
        </is>
      </c>
      <c r="G65" s="23" t="inlineStr">
        <is>
          <t>pending</t>
        </is>
      </c>
      <c r="H65" s="44" t="n">
        <v>10</v>
      </c>
      <c r="I65" s="44" t="n">
        <v>0</v>
      </c>
      <c r="J65" s="44">
        <f>MAX(H70-I70,0)</f>
        <v/>
      </c>
      <c r="K65" s="25">
        <f>IF(H70=0,0,I70/H70)</f>
        <v/>
      </c>
      <c r="L65" s="2" t="n"/>
    </row>
    <row r="66">
      <c r="A66" s="43" t="n">
        <v>46245</v>
      </c>
      <c r="B66" s="23" t="inlineStr">
        <is>
          <t>TEST-1</t>
        </is>
      </c>
      <c r="C66" s="23" t="inlineStr">
        <is>
          <t>TEST-1</t>
        </is>
      </c>
      <c r="D66" s="2" t="inlineStr">
        <is>
          <t>结果分析</t>
        </is>
      </c>
      <c r="E66" s="2" t="inlineStr">
        <is>
          <t>检查库存、service、cuts、deployments</t>
        </is>
      </c>
      <c r="F66" s="2" t="inlineStr">
        <is>
          <t>E2E analysis</t>
        </is>
      </c>
      <c r="G66" s="23" t="inlineStr">
        <is>
          <t>pending</t>
        </is>
      </c>
      <c r="H66" s="44" t="n">
        <v>10</v>
      </c>
      <c r="I66" s="44" t="n">
        <v>0</v>
      </c>
      <c r="J66" s="44">
        <f>MAX(H71-I71,0)</f>
        <v/>
      </c>
      <c r="K66" s="25">
        <f>IF(H71=0,0,I71/H71)</f>
        <v/>
      </c>
      <c r="L66" s="2" t="n"/>
    </row>
    <row r="67">
      <c r="A67" s="43" t="n">
        <v>46246</v>
      </c>
      <c r="B67" s="23" t="inlineStr">
        <is>
          <t>TEST-1</t>
        </is>
      </c>
      <c r="C67" s="23" t="inlineStr">
        <is>
          <t>TEST-1</t>
        </is>
      </c>
      <c r="D67" s="2" t="inlineStr">
        <is>
          <t>自动化脚本</t>
        </is>
      </c>
      <c r="E67" s="2" t="inlineStr">
        <is>
          <t>固化 E2E run + compare 脚本</t>
        </is>
      </c>
      <c r="F67" s="2" t="inlineStr">
        <is>
          <t>e2e script</t>
        </is>
      </c>
      <c r="G67" s="23" t="inlineStr">
        <is>
          <t>pending</t>
        </is>
      </c>
      <c r="H67" s="44" t="n">
        <v>10</v>
      </c>
      <c r="I67" s="44" t="n">
        <v>0</v>
      </c>
      <c r="J67" s="44">
        <f>MAX(H72-I72,0)</f>
        <v/>
      </c>
      <c r="K67" s="25">
        <f>IF(H72=0,0,I72/H72)</f>
        <v/>
      </c>
      <c r="L67" s="2" t="n"/>
    </row>
    <row r="68">
      <c r="A68" s="43" t="n">
        <v>46247</v>
      </c>
      <c r="B68" s="23" t="inlineStr">
        <is>
          <t>TEST-1</t>
        </is>
      </c>
      <c r="C68" s="23" t="inlineStr">
        <is>
          <t>TEST-1</t>
        </is>
      </c>
      <c r="D68" s="2" t="inlineStr">
        <is>
          <t>报告整理</t>
        </is>
      </c>
      <c r="E68" s="2" t="inlineStr">
        <is>
          <t>输出 E2E 测试报告</t>
        </is>
      </c>
      <c r="F68" s="2" t="inlineStr">
        <is>
          <t>E2E report</t>
        </is>
      </c>
      <c r="G68" s="23" t="inlineStr">
        <is>
          <t>pending</t>
        </is>
      </c>
      <c r="H68" s="44" t="n">
        <v>10</v>
      </c>
      <c r="I68" s="44" t="n">
        <v>0</v>
      </c>
      <c r="J68" s="44">
        <f>MAX(H73-I73,0)</f>
        <v/>
      </c>
      <c r="K68" s="25">
        <f>IF(H73=0,0,I73/H73)</f>
        <v/>
      </c>
      <c r="L68" s="2" t="n"/>
    </row>
    <row r="69">
      <c r="A69" s="43" t="n">
        <v>46248</v>
      </c>
      <c r="B69" s="23" t="inlineStr">
        <is>
          <t>TEST-1</t>
        </is>
      </c>
      <c r="C69" s="23" t="inlineStr">
        <is>
          <t>TEST-1</t>
        </is>
      </c>
      <c r="D69" s="2" t="inlineStr">
        <is>
          <t>E2E 验收</t>
        </is>
      </c>
      <c r="E69" s="2" t="inlineStr">
        <is>
          <t>E2E 网络冻结</t>
        </is>
      </c>
      <c r="F69" s="2" t="inlineStr">
        <is>
          <t>E2E 验收记录</t>
        </is>
      </c>
      <c r="G69" s="23" t="inlineStr">
        <is>
          <t>pending</t>
        </is>
      </c>
      <c r="H69" s="44" t="n">
        <v>10</v>
      </c>
      <c r="I69" s="44" t="n">
        <v>0</v>
      </c>
      <c r="J69" s="44">
        <f>MAX(H74-I74,0)</f>
        <v/>
      </c>
      <c r="K69" s="25">
        <f>IF(H74=0,0,I74/H74)</f>
        <v/>
      </c>
      <c r="L69" s="2" t="n"/>
    </row>
    <row r="70">
      <c r="A70" s="43" t="n">
        <v>46251</v>
      </c>
      <c r="B70" s="23" t="inlineStr">
        <is>
          <t>DOC-2</t>
        </is>
      </c>
      <c r="C70" s="23" t="inlineStr">
        <is>
          <t>DOC-2</t>
        </is>
      </c>
      <c r="D70" s="2" t="inlineStr">
        <is>
          <t>回测资料整理</t>
        </is>
      </c>
      <c r="E70" s="2" t="inlineStr">
        <is>
          <t>整理 baby case 已完成回测结果</t>
        </is>
      </c>
      <c r="F70" s="2" t="inlineStr">
        <is>
          <t>回测资料包</t>
        </is>
      </c>
      <c r="G70" s="23" t="inlineStr">
        <is>
          <t>pending</t>
        </is>
      </c>
      <c r="H70" s="44" t="n">
        <v>10</v>
      </c>
      <c r="I70" s="44" t="n">
        <v>0</v>
      </c>
      <c r="J70" s="44">
        <f>MAX(H75-I75,0)</f>
        <v/>
      </c>
      <c r="K70" s="25">
        <f>IF(H75=0,0,I75/H75)</f>
        <v/>
      </c>
      <c r="L70" s="2" t="n"/>
    </row>
    <row r="71">
      <c r="A71" s="43" t="n">
        <v>46252</v>
      </c>
      <c r="B71" s="23" t="inlineStr">
        <is>
          <t>DOC-2</t>
        </is>
      </c>
      <c r="C71" s="23" t="inlineStr">
        <is>
          <t>DOC-2</t>
        </is>
      </c>
      <c r="D71" s="2" t="inlineStr">
        <is>
          <t>KPI 定义</t>
        </is>
      </c>
      <c r="E71" s="2" t="inlineStr">
        <is>
          <t>明确 simulated vs actual KPI 列表</t>
        </is>
      </c>
      <c r="F71" s="2" t="inlineStr">
        <is>
          <t>KPI 字典</t>
        </is>
      </c>
      <c r="G71" s="23" t="inlineStr">
        <is>
          <t>pending</t>
        </is>
      </c>
      <c r="H71" s="44" t="n">
        <v>10</v>
      </c>
      <c r="I71" s="44" t="n">
        <v>0</v>
      </c>
      <c r="J71" s="44">
        <f>MAX(H76-I76,0)</f>
        <v/>
      </c>
      <c r="K71" s="25">
        <f>IF(H76=0,0,I76/H76)</f>
        <v/>
      </c>
      <c r="L71" s="2" t="n"/>
    </row>
    <row r="72">
      <c r="A72" s="43" t="n">
        <v>46253</v>
      </c>
      <c r="B72" s="23" t="inlineStr">
        <is>
          <t>DOC-2</t>
        </is>
      </c>
      <c r="C72" s="23" t="inlineStr">
        <is>
          <t>DOC-2</t>
        </is>
      </c>
      <c r="D72" s="2" t="inlineStr">
        <is>
          <t>差异分析</t>
        </is>
      </c>
      <c r="E72" s="2" t="inlineStr">
        <is>
          <t>分析误差、偏差、异常月份</t>
        </is>
      </c>
      <c r="F72" s="2" t="inlineStr">
        <is>
          <t>差异表</t>
        </is>
      </c>
      <c r="G72" s="23" t="inlineStr">
        <is>
          <t>pending</t>
        </is>
      </c>
      <c r="H72" s="44" t="n">
        <v>10</v>
      </c>
      <c r="I72" s="44" t="n">
        <v>0</v>
      </c>
      <c r="J72" s="44">
        <f>MAX(H77-I77,0)</f>
        <v/>
      </c>
      <c r="K72" s="25">
        <f>IF(H77=0,0,I77/H77)</f>
        <v/>
      </c>
      <c r="L72" s="2" t="n"/>
    </row>
    <row r="73">
      <c r="A73" s="43" t="n">
        <v>46254</v>
      </c>
      <c r="B73" s="23" t="inlineStr">
        <is>
          <t>DOC-2</t>
        </is>
      </c>
      <c r="C73" s="23" t="inlineStr">
        <is>
          <t>DOC-2</t>
        </is>
      </c>
      <c r="D73" s="2" t="inlineStr">
        <is>
          <t>图表生成</t>
        </is>
      </c>
      <c r="E73" s="2" t="inlineStr">
        <is>
          <t>输出 KPI 对比图</t>
        </is>
      </c>
      <c r="F73" s="2" t="inlineStr">
        <is>
          <t>charts</t>
        </is>
      </c>
      <c r="G73" s="23" t="inlineStr">
        <is>
          <t>pending</t>
        </is>
      </c>
      <c r="H73" s="44" t="n">
        <v>10</v>
      </c>
      <c r="I73" s="44" t="n">
        <v>0</v>
      </c>
      <c r="J73" s="44">
        <f>MAX(H78-I78,0)</f>
        <v/>
      </c>
      <c r="K73" s="25">
        <f>IF(H78=0,0,I78/H78)</f>
        <v/>
      </c>
      <c r="L73" s="2" t="n"/>
    </row>
    <row r="74">
      <c r="A74" s="43" t="n">
        <v>46255</v>
      </c>
      <c r="B74" s="23" t="inlineStr">
        <is>
          <t>DOC-2</t>
        </is>
      </c>
      <c r="C74" s="23" t="inlineStr">
        <is>
          <t>DOC-2</t>
        </is>
      </c>
      <c r="D74" s="2" t="inlineStr">
        <is>
          <t>回测初稿</t>
        </is>
      </c>
      <c r="E74" s="2" t="inlineStr">
        <is>
          <t>写回测报告初稿</t>
        </is>
      </c>
      <c r="F74" s="2" t="inlineStr">
        <is>
          <t>backtesting draft</t>
        </is>
      </c>
      <c r="G74" s="23" t="inlineStr">
        <is>
          <t>pending</t>
        </is>
      </c>
      <c r="H74" s="44" t="n">
        <v>10</v>
      </c>
      <c r="I74" s="44" t="n">
        <v>0</v>
      </c>
      <c r="J74" s="44">
        <f>MAX(H79-I79,0)</f>
        <v/>
      </c>
      <c r="K74" s="25">
        <f>IF(H79=0,0,I79/H79)</f>
        <v/>
      </c>
      <c r="L74" s="2" t="n"/>
    </row>
    <row r="75">
      <c r="A75" s="43" t="n">
        <v>46258</v>
      </c>
      <c r="B75" s="23" t="inlineStr">
        <is>
          <t>DOC-2</t>
        </is>
      </c>
      <c r="C75" s="23" t="inlineStr">
        <is>
          <t>DOC-2</t>
        </is>
      </c>
      <c r="D75" s="2" t="inlineStr">
        <is>
          <t>业务解释</t>
        </is>
      </c>
      <c r="E75" s="2" t="inlineStr">
        <is>
          <t>补充偏差原因、限制条件</t>
        </is>
      </c>
      <c r="F75" s="2" t="inlineStr">
        <is>
          <t>explanation</t>
        </is>
      </c>
      <c r="G75" s="23" t="inlineStr">
        <is>
          <t>pending</t>
        </is>
      </c>
      <c r="H75" s="44" t="n">
        <v>10</v>
      </c>
      <c r="I75" s="44" t="n">
        <v>0</v>
      </c>
      <c r="J75" s="44">
        <f>MAX(H80-I80,0)</f>
        <v/>
      </c>
      <c r="K75" s="25">
        <f>IF(H80=0,0,I80/H80)</f>
        <v/>
      </c>
      <c r="L75" s="2" t="n"/>
    </row>
    <row r="76">
      <c r="A76" s="43" t="n">
        <v>46259</v>
      </c>
      <c r="B76" s="23" t="inlineStr">
        <is>
          <t>DOC-2</t>
        </is>
      </c>
      <c r="C76" s="23" t="inlineStr">
        <is>
          <t>DOC-2</t>
        </is>
      </c>
      <c r="D76" s="2" t="inlineStr">
        <is>
          <t>证据链</t>
        </is>
      </c>
      <c r="E76" s="2" t="inlineStr">
        <is>
          <t>链接数据源、脚本、输出文件</t>
        </is>
      </c>
      <c r="F76" s="2" t="inlineStr">
        <is>
          <t>evidence pack</t>
        </is>
      </c>
      <c r="G76" s="23" t="inlineStr">
        <is>
          <t>pending</t>
        </is>
      </c>
      <c r="H76" s="44" t="n">
        <v>10</v>
      </c>
      <c r="I76" s="44" t="n">
        <v>0</v>
      </c>
      <c r="J76" s="44">
        <f>MAX(H81-I81,0)</f>
        <v/>
      </c>
      <c r="K76" s="25">
        <f>IF(H81=0,0,I81/H81)</f>
        <v/>
      </c>
      <c r="L76" s="2" t="n"/>
    </row>
    <row r="77">
      <c r="A77" s="43" t="n">
        <v>46260</v>
      </c>
      <c r="B77" s="23" t="inlineStr">
        <is>
          <t>DOC-2</t>
        </is>
      </c>
      <c r="C77" s="23" t="inlineStr">
        <is>
          <t>DOC-2</t>
        </is>
      </c>
      <c r="D77" s="2" t="inlineStr">
        <is>
          <t>Review</t>
        </is>
      </c>
      <c r="E77" s="2" t="inlineStr">
        <is>
          <t>内部审查回测报告</t>
        </is>
      </c>
      <c r="F77" s="2" t="inlineStr">
        <is>
          <t>review notes</t>
        </is>
      </c>
      <c r="G77" s="23" t="inlineStr">
        <is>
          <t>pending</t>
        </is>
      </c>
      <c r="H77" s="44" t="n">
        <v>10</v>
      </c>
      <c r="I77" s="44" t="n">
        <v>0</v>
      </c>
      <c r="J77" s="44">
        <f>MAX(H82-I82,0)</f>
        <v/>
      </c>
      <c r="K77" s="25">
        <f>IF(H82=0,0,I82/H82)</f>
        <v/>
      </c>
      <c r="L77" s="2" t="n"/>
    </row>
    <row r="78">
      <c r="A78" s="43" t="n">
        <v>46261</v>
      </c>
      <c r="B78" s="23" t="inlineStr">
        <is>
          <t>DOC-2</t>
        </is>
      </c>
      <c r="C78" s="23" t="inlineStr">
        <is>
          <t>DOC-2</t>
        </is>
      </c>
      <c r="D78" s="2" t="inlineStr">
        <is>
          <t>修订</t>
        </is>
      </c>
      <c r="E78" s="2" t="inlineStr">
        <is>
          <t>修订图表和结论</t>
        </is>
      </c>
      <c r="F78" s="2" t="inlineStr">
        <is>
          <t>revised report</t>
        </is>
      </c>
      <c r="G78" s="23" t="inlineStr">
        <is>
          <t>pending</t>
        </is>
      </c>
      <c r="H78" s="44" t="n">
        <v>10</v>
      </c>
      <c r="I78" s="44" t="n">
        <v>0</v>
      </c>
      <c r="J78" s="44">
        <f>MAX(H83-I83,0)</f>
        <v/>
      </c>
      <c r="K78" s="25">
        <f>IF(H83=0,0,I83/H83)</f>
        <v/>
      </c>
      <c r="L78" s="2" t="n"/>
    </row>
    <row r="79">
      <c r="A79" s="43" t="n">
        <v>46262</v>
      </c>
      <c r="B79" s="23" t="inlineStr">
        <is>
          <t>DOC-2</t>
        </is>
      </c>
      <c r="C79" s="23" t="inlineStr">
        <is>
          <t>DOC-2</t>
        </is>
      </c>
      <c r="D79" s="2" t="inlineStr">
        <is>
          <t>回测验收</t>
        </is>
      </c>
      <c r="E79" s="2" t="inlineStr">
        <is>
          <t>回测文档定稿</t>
        </is>
      </c>
      <c r="F79" s="2" t="inlineStr">
        <is>
          <t>final backtesting report</t>
        </is>
      </c>
      <c r="G79" s="23" t="inlineStr">
        <is>
          <t>pending</t>
        </is>
      </c>
      <c r="H79" s="44" t="n">
        <v>10</v>
      </c>
      <c r="I79" s="44" t="n">
        <v>0</v>
      </c>
      <c r="J79" s="44">
        <f>MAX(H84-I84,0)</f>
        <v/>
      </c>
      <c r="K79" s="25">
        <f>IF(H84=0,0,I84/H84)</f>
        <v/>
      </c>
      <c r="L79" s="2" t="n"/>
    </row>
    <row r="80">
      <c r="A80" s="43" t="n">
        <v>46265</v>
      </c>
      <c r="B80" s="23" t="inlineStr">
        <is>
          <t>DOC-3</t>
        </is>
      </c>
      <c r="C80" s="23" t="inlineStr">
        <is>
          <t>DOC-3</t>
        </is>
      </c>
      <c r="D80" s="2" t="inlineStr">
        <is>
          <t>指标框架</t>
        </is>
      </c>
      <c r="E80" s="2" t="inlineStr">
        <is>
          <t>定义 cost/cash/service 三类 KPI</t>
        </is>
      </c>
      <c r="F80" s="2" t="inlineStr">
        <is>
          <t>KPI framework</t>
        </is>
      </c>
      <c r="G80" s="23" t="inlineStr">
        <is>
          <t>pending</t>
        </is>
      </c>
      <c r="H80" s="44" t="n">
        <v>10</v>
      </c>
      <c r="I80" s="44" t="n">
        <v>0</v>
      </c>
      <c r="J80" s="44">
        <f>MAX(H85-I85,0)</f>
        <v/>
      </c>
      <c r="K80" s="25">
        <f>IF(H85=0,0,I85/H85)</f>
        <v/>
      </c>
      <c r="L80" s="2" t="n"/>
    </row>
    <row r="81">
      <c r="A81" s="43" t="n">
        <v>46266</v>
      </c>
      <c r="B81" s="23" t="inlineStr">
        <is>
          <t>DOC-3</t>
        </is>
      </c>
      <c r="C81" s="23" t="inlineStr">
        <is>
          <t>DOC-3</t>
        </is>
      </c>
      <c r="D81" s="2" t="inlineStr">
        <is>
          <t>成本指标</t>
        </is>
      </c>
      <c r="E81" s="2" t="inlineStr">
        <is>
          <t>设计生产、库存、物流、缺货成本口径</t>
        </is>
      </c>
      <c r="F81" s="2" t="inlineStr">
        <is>
          <t>cost metric</t>
        </is>
      </c>
      <c r="G81" s="23" t="inlineStr">
        <is>
          <t>pending</t>
        </is>
      </c>
      <c r="H81" s="44" t="n">
        <v>10</v>
      </c>
      <c r="I81" s="44" t="n">
        <v>0</v>
      </c>
      <c r="J81" s="44">
        <f>MAX(H86-I86,0)</f>
        <v/>
      </c>
      <c r="K81" s="25">
        <f>IF(H86=0,0,I86/H86)</f>
        <v/>
      </c>
      <c r="L81" s="2" t="n"/>
    </row>
    <row r="82">
      <c r="A82" s="43" t="n">
        <v>46267</v>
      </c>
      <c r="B82" s="23" t="inlineStr">
        <is>
          <t>DOC-3</t>
        </is>
      </c>
      <c r="C82" s="23" t="inlineStr">
        <is>
          <t>DOC-3</t>
        </is>
      </c>
      <c r="D82" s="2" t="inlineStr">
        <is>
          <t>cash 指标</t>
        </is>
      </c>
      <c r="E82" s="2" t="inlineStr">
        <is>
          <t>设计库存占用、现金周转相关指标</t>
        </is>
      </c>
      <c r="F82" s="2" t="inlineStr">
        <is>
          <t>cash metric</t>
        </is>
      </c>
      <c r="G82" s="23" t="inlineStr">
        <is>
          <t>pending</t>
        </is>
      </c>
      <c r="H82" s="44" t="n">
        <v>10</v>
      </c>
      <c r="I82" s="44" t="n">
        <v>0</v>
      </c>
      <c r="J82" s="44">
        <f>MAX(H87-I87,0)</f>
        <v/>
      </c>
      <c r="K82" s="25">
        <f>IF(H87=0,0,I87/H87)</f>
        <v/>
      </c>
      <c r="L82" s="2" t="n"/>
    </row>
    <row r="83">
      <c r="A83" s="43" t="n">
        <v>46268</v>
      </c>
      <c r="B83" s="23" t="inlineStr">
        <is>
          <t>DOC-3</t>
        </is>
      </c>
      <c r="C83" s="23" t="inlineStr">
        <is>
          <t>DOC-3</t>
        </is>
      </c>
      <c r="D83" s="2" t="inlineStr">
        <is>
          <t>service 指标</t>
        </is>
      </c>
      <c r="E83" s="2" t="inlineStr">
        <is>
          <t>设计 fill rate、cut rate、OTIF 类指标</t>
        </is>
      </c>
      <c r="F83" s="2" t="inlineStr">
        <is>
          <t>service metric</t>
        </is>
      </c>
      <c r="G83" s="23" t="inlineStr">
        <is>
          <t>pending</t>
        </is>
      </c>
      <c r="H83" s="44" t="n">
        <v>10</v>
      </c>
      <c r="I83" s="44" t="n">
        <v>0</v>
      </c>
      <c r="J83" s="44">
        <f>MAX(H88-I88,0)</f>
        <v/>
      </c>
      <c r="K83" s="25">
        <f>IF(H88=0,0,I88/H88)</f>
        <v/>
      </c>
      <c r="L83" s="2" t="n"/>
    </row>
    <row r="84" ht="28.8" customHeight="1" s="38">
      <c r="A84" s="43" t="n">
        <v>46269</v>
      </c>
      <c r="B84" s="23" t="inlineStr">
        <is>
          <t>DOC-3</t>
        </is>
      </c>
      <c r="C84" s="23" t="inlineStr">
        <is>
          <t>DOC-3</t>
        </is>
      </c>
      <c r="D84" s="2" t="inlineStr">
        <is>
          <t>场景设计</t>
        </is>
      </c>
      <c r="E84" s="2" t="inlineStr">
        <is>
          <t>设计 baseline/high service/low cost 等场景</t>
        </is>
      </c>
      <c r="F84" s="2" t="inlineStr">
        <is>
          <t>scenario set</t>
        </is>
      </c>
      <c r="G84" s="23" t="inlineStr">
        <is>
          <t>pending</t>
        </is>
      </c>
      <c r="H84" s="44" t="n">
        <v>10</v>
      </c>
      <c r="I84" s="44" t="n">
        <v>0</v>
      </c>
      <c r="J84" s="44">
        <f>MAX(H89-I89,0)</f>
        <v/>
      </c>
      <c r="K84" s="25">
        <f>IF(H89=0,0,I89/H89)</f>
        <v/>
      </c>
      <c r="L84" s="2" t="n"/>
    </row>
    <row r="85">
      <c r="A85" s="43" t="n">
        <v>46272</v>
      </c>
      <c r="B85" s="23" t="inlineStr">
        <is>
          <t>DOC-3</t>
        </is>
      </c>
      <c r="C85" s="23" t="inlineStr">
        <is>
          <t>DOC-3</t>
        </is>
      </c>
      <c r="D85" s="2" t="inlineStr">
        <is>
          <t>跑场景</t>
        </is>
      </c>
      <c r="E85" s="2" t="inlineStr">
        <is>
          <t>执行多个 scenario</t>
        </is>
      </c>
      <c r="F85" s="2" t="inlineStr">
        <is>
          <t>scenario outputs</t>
        </is>
      </c>
      <c r="G85" s="23" t="inlineStr">
        <is>
          <t>pending</t>
        </is>
      </c>
      <c r="H85" s="44" t="n">
        <v>10</v>
      </c>
      <c r="I85" s="44" t="n">
        <v>0</v>
      </c>
      <c r="J85" s="44">
        <f>MAX(H90-I90,0)</f>
        <v/>
      </c>
      <c r="K85" s="25">
        <f>IF(H90=0,0,I90/H90)</f>
        <v/>
      </c>
      <c r="L85" s="2" t="n"/>
    </row>
    <row r="86">
      <c r="A86" s="43" t="n">
        <v>46273</v>
      </c>
      <c r="B86" s="23" t="inlineStr">
        <is>
          <t>DOC-3</t>
        </is>
      </c>
      <c r="C86" s="23" t="inlineStr">
        <is>
          <t>DOC-3</t>
        </is>
      </c>
      <c r="D86" s="2" t="inlineStr">
        <is>
          <t>汇总结果</t>
        </is>
      </c>
      <c r="E86" s="2" t="inlineStr">
        <is>
          <t>汇总成本、现金、服务指标</t>
        </is>
      </c>
      <c r="F86" s="2" t="inlineStr">
        <is>
          <t>result table</t>
        </is>
      </c>
      <c r="G86" s="23" t="inlineStr">
        <is>
          <t>pending</t>
        </is>
      </c>
      <c r="H86" s="44" t="n">
        <v>10</v>
      </c>
      <c r="I86" s="44" t="n">
        <v>0</v>
      </c>
      <c r="J86" s="44">
        <f>MAX(H91-I91,0)</f>
        <v/>
      </c>
      <c r="K86" s="25">
        <f>IF(H91=0,0,I91/H91)</f>
        <v/>
      </c>
      <c r="L86" s="2" t="n"/>
    </row>
    <row r="87">
      <c r="A87" s="43" t="n">
        <v>46274</v>
      </c>
      <c r="B87" s="23" t="inlineStr">
        <is>
          <t>DOC-3</t>
        </is>
      </c>
      <c r="C87" s="23" t="inlineStr">
        <is>
          <t>DOC-3</t>
        </is>
      </c>
      <c r="D87" s="2" t="inlineStr">
        <is>
          <t>trade-off 分析</t>
        </is>
      </c>
      <c r="E87" s="2" t="inlineStr">
        <is>
          <t>识别 Pareto 或关键拐点</t>
        </is>
      </c>
      <c r="F87" s="2" t="inlineStr">
        <is>
          <t>trade-off analysis</t>
        </is>
      </c>
      <c r="G87" s="23" t="inlineStr">
        <is>
          <t>pending</t>
        </is>
      </c>
      <c r="H87" s="44" t="n">
        <v>10</v>
      </c>
      <c r="I87" s="44" t="n">
        <v>0</v>
      </c>
      <c r="J87" s="44">
        <f>MAX(H92-I92,0)</f>
        <v/>
      </c>
      <c r="K87" s="25">
        <f>IF(H92=0,0,I92/H92)</f>
        <v/>
      </c>
      <c r="L87" s="2" t="n"/>
    </row>
    <row r="88">
      <c r="A88" s="43" t="n">
        <v>46275</v>
      </c>
      <c r="B88" s="23" t="inlineStr">
        <is>
          <t>DOC-3</t>
        </is>
      </c>
      <c r="C88" s="23" t="inlineStr">
        <is>
          <t>DOC-3</t>
        </is>
      </c>
      <c r="D88" s="2" t="inlineStr">
        <is>
          <t>图表</t>
        </is>
      </c>
      <c r="E88" s="2" t="inlineStr">
        <is>
          <t>生成 trade-off 曲线和矩阵</t>
        </is>
      </c>
      <c r="F88" s="2" t="inlineStr">
        <is>
          <t>charts</t>
        </is>
      </c>
      <c r="G88" s="23" t="inlineStr">
        <is>
          <t>pending</t>
        </is>
      </c>
      <c r="H88" s="44" t="n">
        <v>10</v>
      </c>
      <c r="I88" s="44" t="n">
        <v>0</v>
      </c>
      <c r="J88" s="44">
        <f>MAX(H93-I93,0)</f>
        <v/>
      </c>
      <c r="K88" s="25">
        <f>IF(H93=0,0,I93/H93)</f>
        <v/>
      </c>
      <c r="L88" s="2" t="n"/>
    </row>
    <row r="89">
      <c r="A89" s="43" t="n">
        <v>46276</v>
      </c>
      <c r="B89" s="23" t="inlineStr">
        <is>
          <t>DOC-3</t>
        </is>
      </c>
      <c r="C89" s="23" t="inlineStr">
        <is>
          <t>DOC-3</t>
        </is>
      </c>
      <c r="D89" s="2" t="inlineStr">
        <is>
          <t>报告定稿</t>
        </is>
      </c>
      <c r="E89" s="2" t="inlineStr">
        <is>
          <t>输出 trade-off 报告</t>
        </is>
      </c>
      <c r="F89" s="2" t="inlineStr">
        <is>
          <t>final report</t>
        </is>
      </c>
      <c r="G89" s="23" t="inlineStr">
        <is>
          <t>pending</t>
        </is>
      </c>
      <c r="H89" s="44" t="n">
        <v>10</v>
      </c>
      <c r="I89" s="44" t="n">
        <v>0</v>
      </c>
      <c r="J89" s="44">
        <f>MAX(H94-I94,0)</f>
        <v/>
      </c>
      <c r="K89" s="25">
        <f>IF(H94=0,0,I94/H94)</f>
        <v/>
      </c>
      <c r="L89" s="2" t="n"/>
    </row>
    <row r="90">
      <c r="A90" s="43" t="n">
        <v>46279</v>
      </c>
      <c r="B90" s="23" t="inlineStr">
        <is>
          <t>DOC-4</t>
        </is>
      </c>
      <c r="C90" s="23" t="inlineStr">
        <is>
          <t>DOC-4</t>
        </is>
      </c>
      <c r="D90" s="2" t="inlineStr">
        <is>
          <t>PG 数据盘点</t>
        </is>
      </c>
      <c r="E90" s="2" t="inlineStr">
        <is>
          <t>确认 PG 数据源、字段、时间范围</t>
        </is>
      </c>
      <c r="F90" s="2" t="inlineStr">
        <is>
          <t>data inventory</t>
        </is>
      </c>
      <c r="G90" s="23" t="inlineStr">
        <is>
          <t>pending</t>
        </is>
      </c>
      <c r="H90" s="44" t="n">
        <v>10</v>
      </c>
      <c r="I90" s="44" t="n">
        <v>0</v>
      </c>
      <c r="J90" s="44">
        <f>MAX(H95-I95,0)</f>
        <v/>
      </c>
      <c r="K90" s="25">
        <f>IF(H95=0,0,I95/H95)</f>
        <v/>
      </c>
      <c r="L90" s="2" t="n"/>
    </row>
    <row r="91">
      <c r="A91" s="43" t="n">
        <v>46280</v>
      </c>
      <c r="B91" s="23" t="inlineStr">
        <is>
          <t>DOC-4</t>
        </is>
      </c>
      <c r="C91" s="23" t="inlineStr">
        <is>
          <t>DOC-4</t>
        </is>
      </c>
      <c r="D91" s="2" t="inlineStr">
        <is>
          <t>demand 分布</t>
        </is>
      </c>
      <c r="E91" s="2" t="inlineStr">
        <is>
          <t>分析需求均值、方差、长尾、季节性</t>
        </is>
      </c>
      <c r="F91" s="2" t="inlineStr">
        <is>
          <t>demand profile</t>
        </is>
      </c>
      <c r="G91" s="23" t="inlineStr">
        <is>
          <t>pending</t>
        </is>
      </c>
      <c r="H91" s="44" t="n">
        <v>10</v>
      </c>
      <c r="I91" s="44" t="n">
        <v>0</v>
      </c>
      <c r="J91" s="44">
        <f>MAX(H96-I96,0)</f>
        <v/>
      </c>
      <c r="K91" s="25">
        <f>IF(H96=0,0,I96/H96)</f>
        <v/>
      </c>
      <c r="L91" s="2" t="n"/>
    </row>
    <row r="92">
      <c r="A92" s="43" t="n">
        <v>46281</v>
      </c>
      <c r="B92" s="23" t="inlineStr">
        <is>
          <t>DOC-4</t>
        </is>
      </c>
      <c r="C92" s="23" t="inlineStr">
        <is>
          <t>DOC-4</t>
        </is>
      </c>
      <c r="D92" s="2" t="inlineStr">
        <is>
          <t>inventory 分布</t>
        </is>
      </c>
      <c r="E92" s="2" t="inlineStr">
        <is>
          <t>分析库存分布、缺货、异常库存</t>
        </is>
      </c>
      <c r="F92" s="2" t="inlineStr">
        <is>
          <t>inventory profile</t>
        </is>
      </c>
      <c r="G92" s="23" t="inlineStr">
        <is>
          <t>pending</t>
        </is>
      </c>
      <c r="H92" s="44" t="n">
        <v>10</v>
      </c>
      <c r="I92" s="44" t="n">
        <v>0</v>
      </c>
      <c r="J92" s="44">
        <f>MAX(H97-I97,0)</f>
        <v/>
      </c>
      <c r="K92" s="25">
        <f>IF(H97=0,0,I97/H97)</f>
        <v/>
      </c>
      <c r="L92" s="2" t="n"/>
    </row>
    <row r="93">
      <c r="A93" s="43" t="n">
        <v>46282</v>
      </c>
      <c r="B93" s="23" t="inlineStr">
        <is>
          <t>DOC-4</t>
        </is>
      </c>
      <c r="C93" s="23" t="inlineStr">
        <is>
          <t>DOC-4</t>
        </is>
      </c>
      <c r="D93" s="2" t="inlineStr">
        <is>
          <t>leadtime 分布</t>
        </is>
      </c>
      <c r="E93" s="2" t="inlineStr">
        <is>
          <t>分析 lead time 均值、波动、异常值</t>
        </is>
      </c>
      <c r="F93" s="2" t="inlineStr">
        <is>
          <t>leadtime profile</t>
        </is>
      </c>
      <c r="G93" s="23" t="inlineStr">
        <is>
          <t>pending</t>
        </is>
      </c>
      <c r="H93" s="44" t="n">
        <v>10</v>
      </c>
      <c r="I93" s="44" t="n">
        <v>0</v>
      </c>
      <c r="J93" s="44">
        <f>MAX(H98-I98,0)</f>
        <v/>
      </c>
      <c r="K93" s="25">
        <f>IF(H98=0,0,I98/H98)</f>
        <v/>
      </c>
      <c r="L93" s="2" t="n"/>
    </row>
    <row r="94">
      <c r="A94" s="43" t="n">
        <v>46283</v>
      </c>
      <c r="B94" s="23" t="inlineStr">
        <is>
          <t>DOC-4</t>
        </is>
      </c>
      <c r="C94" s="23" t="inlineStr">
        <is>
          <t>DOC-4</t>
        </is>
      </c>
      <c r="D94" s="2" t="inlineStr">
        <is>
          <t>production 分布</t>
        </is>
      </c>
      <c r="E94" s="2" t="inlineStr">
        <is>
          <t>分析产能、产量、可靠性分布</t>
        </is>
      </c>
      <c r="F94" s="2" t="inlineStr">
        <is>
          <t>production profile</t>
        </is>
      </c>
      <c r="G94" s="23" t="inlineStr">
        <is>
          <t>pending</t>
        </is>
      </c>
      <c r="H94" s="44" t="n">
        <v>10</v>
      </c>
      <c r="I94" s="44" t="n">
        <v>0</v>
      </c>
      <c r="J94" s="44">
        <f>MAX(H99-I99,0)</f>
        <v/>
      </c>
      <c r="K94" s="25">
        <f>IF(H99=0,0,I99/H99)</f>
        <v/>
      </c>
      <c r="L94" s="2" t="n"/>
    </row>
    <row r="95">
      <c r="A95" s="43" t="n">
        <v>46286</v>
      </c>
      <c r="B95" s="23" t="inlineStr">
        <is>
          <t>DOC-4</t>
        </is>
      </c>
      <c r="C95" s="23" t="inlineStr">
        <is>
          <t>DOC-4</t>
        </is>
      </c>
      <c r="D95" s="2" t="inlineStr">
        <is>
          <t>异常检测</t>
        </is>
      </c>
      <c r="E95" s="2" t="inlineStr">
        <is>
          <t>标记离群点、缺失、异常时间段</t>
        </is>
      </c>
      <c r="F95" s="2" t="inlineStr">
        <is>
          <t>anomaly list</t>
        </is>
      </c>
      <c r="G95" s="23" t="inlineStr">
        <is>
          <t>pending</t>
        </is>
      </c>
      <c r="H95" s="44" t="n">
        <v>10</v>
      </c>
      <c r="I95" s="44" t="n">
        <v>0</v>
      </c>
      <c r="J95" s="44">
        <f>MAX(H100-I100,0)</f>
        <v/>
      </c>
      <c r="K95" s="25">
        <f>IF(H100=0,0,I100/H100)</f>
        <v/>
      </c>
      <c r="L95" s="2" t="n"/>
    </row>
    <row r="96">
      <c r="A96" s="43" t="n">
        <v>46287</v>
      </c>
      <c r="B96" s="23" t="inlineStr">
        <is>
          <t>DOC-4</t>
        </is>
      </c>
      <c r="C96" s="23" t="inlineStr">
        <is>
          <t>DOC-4</t>
        </is>
      </c>
      <c r="D96" s="2" t="inlineStr">
        <is>
          <t>分布图表</t>
        </is>
      </c>
      <c r="E96" s="2" t="inlineStr">
        <is>
          <t>输出 histogram/boxplot/time series</t>
        </is>
      </c>
      <c r="F96" s="2" t="inlineStr">
        <is>
          <t>charts</t>
        </is>
      </c>
      <c r="G96" s="23" t="inlineStr">
        <is>
          <t>pending</t>
        </is>
      </c>
      <c r="H96" s="44" t="n">
        <v>10</v>
      </c>
      <c r="I96" s="44" t="n">
        <v>0</v>
      </c>
      <c r="J96" s="44">
        <f>MAX(H101-I101,0)</f>
        <v/>
      </c>
      <c r="K96" s="25">
        <f>IF(H101=0,0,I101/H101)</f>
        <v/>
      </c>
      <c r="L96" s="2" t="n"/>
    </row>
    <row r="97">
      <c r="A97" s="43" t="n">
        <v>46288</v>
      </c>
      <c r="B97" s="23" t="inlineStr">
        <is>
          <t>DOC-4</t>
        </is>
      </c>
      <c r="C97" s="23" t="inlineStr">
        <is>
          <t>DOC-4</t>
        </is>
      </c>
      <c r="D97" s="2" t="inlineStr">
        <is>
          <t>建模建议</t>
        </is>
      </c>
      <c r="E97" s="2" t="inlineStr">
        <is>
          <t>说明分布对仿真参数的影响</t>
        </is>
      </c>
      <c r="F97" s="2" t="inlineStr">
        <is>
          <t>modeling notes</t>
        </is>
      </c>
      <c r="G97" s="23" t="inlineStr">
        <is>
          <t>pending</t>
        </is>
      </c>
      <c r="H97" s="44" t="n">
        <v>10</v>
      </c>
      <c r="I97" s="44" t="n">
        <v>0</v>
      </c>
      <c r="J97" s="44">
        <f>MAX(H102-I102,0)</f>
        <v/>
      </c>
      <c r="K97" s="25">
        <f>IF(H102=0,0,I102/H102)</f>
        <v/>
      </c>
      <c r="L97" s="2" t="n"/>
    </row>
    <row r="98">
      <c r="A98" s="43" t="n">
        <v>46289</v>
      </c>
      <c r="B98" s="23" t="inlineStr">
        <is>
          <t>DOC-4</t>
        </is>
      </c>
      <c r="C98" s="23" t="inlineStr">
        <is>
          <t>DOC-4</t>
        </is>
      </c>
      <c r="D98" s="2" t="inlineStr">
        <is>
          <t>报告初稿</t>
        </is>
      </c>
      <c r="E98" s="2" t="inlineStr">
        <is>
          <t>写 PG 数据分布报告</t>
        </is>
      </c>
      <c r="F98" s="2" t="inlineStr">
        <is>
          <t>draft report</t>
        </is>
      </c>
      <c r="G98" s="23" t="inlineStr">
        <is>
          <t>pending</t>
        </is>
      </c>
      <c r="H98" s="44" t="n">
        <v>10</v>
      </c>
      <c r="I98" s="44" t="n">
        <v>0</v>
      </c>
      <c r="J98" s="44">
        <f>MAX(H103-I103,0)</f>
        <v/>
      </c>
      <c r="K98" s="25">
        <f>IF(H103=0,0,I103/H103)</f>
        <v/>
      </c>
      <c r="L98" s="2" t="n"/>
    </row>
    <row r="99">
      <c r="A99" s="43" t="n">
        <v>46293</v>
      </c>
      <c r="B99" s="23" t="inlineStr">
        <is>
          <t>DOC-4</t>
        </is>
      </c>
      <c r="C99" s="23" t="inlineStr">
        <is>
          <t>DOC-4</t>
        </is>
      </c>
      <c r="D99" s="2" t="inlineStr">
        <is>
          <t>报告定稿</t>
        </is>
      </c>
      <c r="E99" s="2" t="inlineStr">
        <is>
          <t>完成 PG 数据分析文档</t>
        </is>
      </c>
      <c r="F99" s="2" t="inlineStr">
        <is>
          <t>final PG report</t>
        </is>
      </c>
      <c r="G99" s="23" t="inlineStr">
        <is>
          <t>pending</t>
        </is>
      </c>
      <c r="H99" s="44" t="n">
        <v>10</v>
      </c>
      <c r="I99" s="44" t="n">
        <v>0</v>
      </c>
      <c r="J99" s="44">
        <f>MAX(H104-I104,0)</f>
        <v/>
      </c>
      <c r="K99" s="25">
        <f>IF(H104=0,0,I104/H104)</f>
        <v/>
      </c>
      <c r="L99" s="2" t="n"/>
    </row>
    <row r="100">
      <c r="A100" s="43" t="n">
        <v>46303</v>
      </c>
      <c r="B100" s="23" t="inlineStr">
        <is>
          <t>DOC-1</t>
        </is>
      </c>
      <c r="C100" s="23" t="inlineStr">
        <is>
          <t>DOC-1</t>
        </is>
      </c>
      <c r="D100" s="2" t="inlineStr">
        <is>
          <t>Scope 定义</t>
        </is>
      </c>
      <c r="E100" s="2" t="inlineStr">
        <is>
          <t>明确本项目包含/不包含哪些模块和能力</t>
        </is>
      </c>
      <c r="F100" s="2" t="inlineStr">
        <is>
          <t>scope draft</t>
        </is>
      </c>
      <c r="G100" s="23" t="inlineStr">
        <is>
          <t>pending</t>
        </is>
      </c>
      <c r="H100" s="44" t="n">
        <v>10</v>
      </c>
      <c r="I100" s="44" t="n">
        <v>0</v>
      </c>
      <c r="J100" s="44">
        <f>MAX(H105-I105,0)</f>
        <v/>
      </c>
      <c r="K100" s="25">
        <f>IF(H105=0,0,I105/H105)</f>
        <v/>
      </c>
      <c r="L100" s="2" t="n"/>
    </row>
    <row r="101">
      <c r="A101" s="43" t="n">
        <v>46304</v>
      </c>
      <c r="B101" s="23" t="inlineStr">
        <is>
          <t>DOC-1</t>
        </is>
      </c>
      <c r="C101" s="23" t="inlineStr">
        <is>
          <t>DOC-1</t>
        </is>
      </c>
      <c r="D101" s="2" t="inlineStr">
        <is>
          <t>Problem 定义</t>
        </is>
      </c>
      <c r="E101" s="2" t="inlineStr">
        <is>
          <t>明确要解决的业务/技术问题</t>
        </is>
      </c>
      <c r="F101" s="2" t="inlineStr">
        <is>
          <t>problem statement</t>
        </is>
      </c>
      <c r="G101" s="23" t="inlineStr">
        <is>
          <t>pending</t>
        </is>
      </c>
      <c r="H101" s="44" t="n">
        <v>10</v>
      </c>
      <c r="I101" s="44" t="n">
        <v>0</v>
      </c>
      <c r="J101" s="44">
        <f>MAX(H106-I106,0)</f>
        <v/>
      </c>
      <c r="K101" s="25">
        <f>IF(H106=0,0,I106/H106)</f>
        <v/>
      </c>
      <c r="L101" s="2" t="n"/>
    </row>
    <row r="102">
      <c r="A102" s="43" t="n">
        <v>46307</v>
      </c>
      <c r="B102" s="23" t="inlineStr">
        <is>
          <t>DOC-1</t>
        </is>
      </c>
      <c r="C102" s="23" t="inlineStr">
        <is>
          <t>DOC-1</t>
        </is>
      </c>
      <c r="D102" s="2" t="inlineStr">
        <is>
          <t>成功标准</t>
        </is>
      </c>
      <c r="E102" s="2" t="inlineStr">
        <is>
          <t>定义性能、准确性、可维护性、验证标准</t>
        </is>
      </c>
      <c r="F102" s="2" t="inlineStr">
        <is>
          <t>success criteria</t>
        </is>
      </c>
      <c r="G102" s="23" t="inlineStr">
        <is>
          <t>pending</t>
        </is>
      </c>
      <c r="H102" s="44" t="n">
        <v>10</v>
      </c>
      <c r="I102" s="44" t="n">
        <v>0</v>
      </c>
      <c r="J102" s="44">
        <f>MAX(H107-I107,0)</f>
        <v/>
      </c>
      <c r="K102" s="25">
        <f>IF(H107=0,0,I107/H107)</f>
        <v/>
      </c>
      <c r="L102" s="2" t="n"/>
    </row>
    <row r="103">
      <c r="A103" s="43" t="n">
        <v>46308</v>
      </c>
      <c r="B103" s="23" t="inlineStr">
        <is>
          <t>DOC-1</t>
        </is>
      </c>
      <c r="C103" s="23" t="inlineStr">
        <is>
          <t>DOC-1</t>
        </is>
      </c>
      <c r="D103" s="2" t="inlineStr">
        <is>
          <t>文档缓冲</t>
        </is>
      </c>
      <c r="E103" s="2" t="inlineStr">
        <is>
          <t>检查范围与交付物一致性</t>
        </is>
      </c>
      <c r="F103" s="2" t="inlineStr">
        <is>
          <t>checklist</t>
        </is>
      </c>
      <c r="G103" s="23" t="inlineStr">
        <is>
          <t>pending</t>
        </is>
      </c>
      <c r="H103" s="44" t="n">
        <v>10</v>
      </c>
      <c r="I103" s="44" t="n">
        <v>0</v>
      </c>
      <c r="J103" s="44">
        <f>MAX(H111-I111,0)</f>
        <v/>
      </c>
      <c r="K103" s="25">
        <f>IF(H111=0,0,I111/H111)</f>
        <v/>
      </c>
      <c r="L103" s="2" t="n"/>
    </row>
    <row r="104">
      <c r="A104" s="43" t="n">
        <v>46309</v>
      </c>
      <c r="B104" s="23" t="inlineStr">
        <is>
          <t>DOC-1</t>
        </is>
      </c>
      <c r="C104" s="23" t="inlineStr">
        <is>
          <t>DOC-1</t>
        </is>
      </c>
      <c r="D104" s="2" t="inlineStr">
        <is>
          <t>文档缓冲</t>
        </is>
      </c>
      <c r="E104" s="2" t="inlineStr">
        <is>
          <t>准备评审版本</t>
        </is>
      </c>
      <c r="F104" s="2" t="inlineStr">
        <is>
          <t>review version</t>
        </is>
      </c>
      <c r="G104" s="23" t="inlineStr">
        <is>
          <t>pending</t>
        </is>
      </c>
      <c r="H104" s="44" t="n">
        <v>10</v>
      </c>
      <c r="I104" s="44" t="n">
        <v>0</v>
      </c>
      <c r="J104" s="44">
        <f>MAX(H112-I112,0)</f>
        <v/>
      </c>
      <c r="K104" s="25">
        <f>IF(H112=0,0,I112/H112)</f>
        <v/>
      </c>
      <c r="L104" s="2" t="n"/>
    </row>
    <row r="105">
      <c r="A105" s="43" t="n">
        <v>46310</v>
      </c>
      <c r="B105" s="23" t="inlineStr">
        <is>
          <t>DOC-1</t>
        </is>
      </c>
      <c r="C105" s="23" t="inlineStr">
        <is>
          <t>DOC-1</t>
        </is>
      </c>
      <c r="D105" s="2" t="inlineStr">
        <is>
          <t>正式评审</t>
        </is>
      </c>
      <c r="E105" s="2" t="inlineStr">
        <is>
          <t>项目范围、问题、成功标准评审</t>
        </is>
      </c>
      <c r="F105" s="2" t="inlineStr">
        <is>
          <t>review notes</t>
        </is>
      </c>
      <c r="G105" s="23" t="inlineStr">
        <is>
          <t>pending</t>
        </is>
      </c>
      <c r="H105" s="44" t="n">
        <v>10</v>
      </c>
      <c r="I105" s="44" t="n">
        <v>0</v>
      </c>
      <c r="J105" s="44">
        <f>MAX(H113-I113,0)</f>
        <v/>
      </c>
      <c r="K105" s="25">
        <f>IF(H113=0,0,I113/H113)</f>
        <v/>
      </c>
      <c r="L105" s="2" t="n"/>
    </row>
    <row r="106">
      <c r="A106" s="43" t="n">
        <v>46311</v>
      </c>
      <c r="B106" s="23" t="inlineStr">
        <is>
          <t>DOC-1</t>
        </is>
      </c>
      <c r="C106" s="23" t="inlineStr">
        <is>
          <t>DOC-1</t>
        </is>
      </c>
      <c r="D106" s="2" t="inlineStr">
        <is>
          <t>修订定稿</t>
        </is>
      </c>
      <c r="E106" s="2" t="inlineStr">
        <is>
          <t>根据评审意见修订</t>
        </is>
      </c>
      <c r="F106" s="2" t="inlineStr">
        <is>
          <t>final scope doc</t>
        </is>
      </c>
      <c r="G106" s="23" t="inlineStr">
        <is>
          <t>pending</t>
        </is>
      </c>
      <c r="H106" s="44" t="n">
        <v>10</v>
      </c>
      <c r="I106" s="44" t="n">
        <v>0</v>
      </c>
      <c r="J106" s="44">
        <f>MAX(H114-I114,0)</f>
        <v/>
      </c>
      <c r="K106" s="25">
        <f>IF(H114=0,0,I114/H114)</f>
        <v/>
      </c>
      <c r="L106" s="2" t="n"/>
    </row>
    <row r="107">
      <c r="A107" s="43" t="n">
        <v>46307</v>
      </c>
      <c r="B107" s="23" t="inlineStr">
        <is>
          <t>ALL</t>
        </is>
      </c>
      <c r="C107" s="23" t="inlineStr">
        <is>
          <t>FINAL</t>
        </is>
      </c>
      <c r="D107" s="2" t="inlineStr">
        <is>
          <t>最终集成验收</t>
        </is>
      </c>
      <c r="E107" s="2" t="inlineStr">
        <is>
          <t>检查代码、验证、测试、文档全部完成</t>
        </is>
      </c>
      <c r="F107" s="2" t="inlineStr">
        <is>
          <t>final checklist</t>
        </is>
      </c>
      <c r="G107" s="23" t="inlineStr">
        <is>
          <t>pending</t>
        </is>
      </c>
      <c r="H107" s="44" t="n">
        <v>10</v>
      </c>
      <c r="I107" s="44" t="n">
        <v>0</v>
      </c>
      <c r="J107" s="44">
        <f>MAX(H115-I115,0)</f>
        <v/>
      </c>
      <c r="K107" s="25">
        <f>IF(H115=0,0,I115/H115)</f>
        <v/>
      </c>
      <c r="L107" s="2" t="n"/>
    </row>
    <row r="108">
      <c r="A108" s="43" t="n">
        <v>46308</v>
      </c>
      <c r="B108" s="23" t="inlineStr">
        <is>
          <t>ALL</t>
        </is>
      </c>
      <c r="C108" s="23" t="inlineStr">
        <is>
          <t>FINAL</t>
        </is>
      </c>
      <c r="D108" s="2" t="inlineStr">
        <is>
          <t>风险关闭</t>
        </is>
      </c>
      <c r="E108" s="2" t="inlineStr">
        <is>
          <t>关闭 open risks / known issues</t>
        </is>
      </c>
      <c r="F108" s="2" t="inlineStr">
        <is>
          <t>risk closure</t>
        </is>
      </c>
      <c r="G108" s="23" t="inlineStr">
        <is>
          <t>pending</t>
        </is>
      </c>
      <c r="H108" s="44" t="n">
        <v>10</v>
      </c>
      <c r="I108" s="44" t="n">
        <v>0</v>
      </c>
      <c r="J108" s="44">
        <f>MAX(H116-I116,0)</f>
        <v/>
      </c>
      <c r="K108" s="25">
        <f>IF(H116=0,0,I116/H116)</f>
        <v/>
      </c>
      <c r="L108" s="2" t="n"/>
    </row>
    <row r="109">
      <c r="A109" s="43" t="n">
        <v>46309</v>
      </c>
      <c r="B109" s="23" t="inlineStr">
        <is>
          <t>ALL</t>
        </is>
      </c>
      <c r="C109" s="23" t="inlineStr">
        <is>
          <t>FINAL</t>
        </is>
      </c>
      <c r="D109" s="2" t="inlineStr">
        <is>
          <t>交付包整理</t>
        </is>
      </c>
      <c r="E109" s="2" t="inlineStr">
        <is>
          <t>打包代码、报告、测试结果、说明</t>
        </is>
      </c>
      <c r="F109" s="2" t="inlineStr">
        <is>
          <t>delivery package</t>
        </is>
      </c>
      <c r="G109" s="23" t="inlineStr">
        <is>
          <t>pending</t>
        </is>
      </c>
      <c r="H109" s="44" t="n">
        <v>10</v>
      </c>
      <c r="I109" s="44" t="n">
        <v>0</v>
      </c>
      <c r="J109" s="44">
        <f>MAX(H117-I117,0)</f>
        <v/>
      </c>
      <c r="K109" s="25">
        <f>IF(H117=0,0,I117/H117)</f>
        <v/>
      </c>
      <c r="L109" s="2" t="n"/>
    </row>
    <row r="110">
      <c r="A110" s="43" t="n">
        <v>46310</v>
      </c>
      <c r="B110" s="23" t="inlineStr">
        <is>
          <t>ALL</t>
        </is>
      </c>
      <c r="C110" s="23" t="inlineStr">
        <is>
          <t>FINAL</t>
        </is>
      </c>
      <c r="D110" s="2" t="inlineStr">
        <is>
          <t>项目 sign-off</t>
        </is>
      </c>
      <c r="E110" s="2" t="inlineStr">
        <is>
          <t>最终汇报与签收</t>
        </is>
      </c>
      <c r="F110" s="2" t="inlineStr">
        <is>
          <t>sign-off record</t>
        </is>
      </c>
      <c r="G110" s="23" t="inlineStr">
        <is>
          <t>pending</t>
        </is>
      </c>
      <c r="H110" s="44" t="n">
        <v>10</v>
      </c>
      <c r="I110" s="44" t="n">
        <v>0</v>
      </c>
      <c r="J110" s="44">
        <f>MAX(H118-I118,0)</f>
        <v/>
      </c>
      <c r="K110" s="25">
        <f>IF(H118=0,0,I118/H118)</f>
        <v/>
      </c>
      <c r="L110" s="2" t="n"/>
    </row>
  </sheetData>
  <autoFilter ref="A1:L118"/>
  <dataValidations count="1">
    <dataValidation sqref="G2:G118" showDropDown="0" showInputMessage="0" showErrorMessage="0" allowBlank="0" type="list">
      <formula1>"pending,in-progress,done,blocked"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pane ySplit="1" topLeftCell="A2" activePane="bottomLeft" state="frozen"/>
      <selection pane="bottomLeft" activeCell="E4" sqref="E4"/>
    </sheetView>
  </sheetViews>
  <sheetFormatPr baseColWidth="8" defaultRowHeight="14.4"/>
  <cols>
    <col width="12" customWidth="1" style="38" min="1" max="2"/>
    <col width="30" customWidth="1" style="38" min="3" max="3"/>
    <col width="12" customWidth="1" style="38" min="4" max="5"/>
    <col width="10" customWidth="1" style="38" min="6" max="6"/>
    <col width="12" customWidth="1" style="38" min="7" max="10"/>
    <col width="14" customWidth="1" style="38" min="11" max="11"/>
    <col width="16" customWidth="1" style="38" min="12" max="12"/>
    <col width="42" customWidth="1" style="38" min="13" max="13"/>
    <col width="26" customWidth="1" style="38" min="14" max="14"/>
  </cols>
  <sheetData>
    <row r="1">
      <c r="A1" s="21" t="inlineStr">
        <is>
          <t>ID</t>
        </is>
      </c>
      <c r="B1" s="21" t="inlineStr">
        <is>
          <t>工作流</t>
        </is>
      </c>
      <c r="C1" s="21" t="inlineStr">
        <is>
          <t>任务</t>
        </is>
      </c>
      <c r="D1" s="21" t="inlineStr">
        <is>
          <t>计划开始</t>
        </is>
      </c>
      <c r="E1" s="21" t="inlineStr">
        <is>
          <t>计划结束</t>
        </is>
      </c>
      <c r="F1" s="21" t="inlineStr">
        <is>
          <t>工期</t>
        </is>
      </c>
      <c r="G1" s="21" t="inlineStr">
        <is>
          <t>计划工时</t>
        </is>
      </c>
      <c r="H1" s="21" t="inlineStr">
        <is>
          <t>已完成工时</t>
        </is>
      </c>
      <c r="I1" s="21" t="inlineStr">
        <is>
          <t>剩余工时</t>
        </is>
      </c>
      <c r="J1" s="21" t="inlineStr">
        <is>
          <t>工时进度</t>
        </is>
      </c>
      <c r="K1" s="21" t="inlineStr">
        <is>
          <t>当前状态</t>
        </is>
      </c>
      <c r="L1" s="21" t="inlineStr">
        <is>
          <t>依赖</t>
        </is>
      </c>
      <c r="M1" s="21" t="inlineStr">
        <is>
          <t>验收标准</t>
        </is>
      </c>
      <c r="N1" s="21" t="inlineStr">
        <is>
          <t>排期说明</t>
        </is>
      </c>
    </row>
    <row r="2">
      <c r="A2" s="23" t="inlineStr">
        <is>
          <t>P0</t>
        </is>
      </c>
      <c r="B2" s="23" t="inlineStr">
        <is>
          <t>启动</t>
        </is>
      </c>
      <c r="C2" s="2" t="inlineStr">
        <is>
          <t>基线、风险、计划</t>
        </is>
      </c>
      <c r="D2" s="43" t="n">
        <v>46148</v>
      </c>
      <c r="E2" s="43" t="n">
        <v>46150</v>
      </c>
      <c r="F2" s="23" t="inlineStr">
        <is>
          <t>3d</t>
        </is>
      </c>
      <c r="G2" s="44">
        <f>SUMIF('Daily Plan'!$C:$C,A2,'Daily Plan'!$H:$H)</f>
        <v/>
      </c>
      <c r="H2" s="44">
        <f>SUMIF('Daily Plan'!$C:$C,A2,'Daily Plan'!$I:$I)</f>
        <v/>
      </c>
      <c r="I2" s="44">
        <f>MAX(G2-H2,0)</f>
        <v/>
      </c>
      <c r="J2" s="25">
        <f>IF(G2=0,IF(K2="done",1,0),H2/G2)</f>
        <v/>
      </c>
      <c r="K2" s="23" t="inlineStr">
        <is>
          <t>pending</t>
        </is>
      </c>
      <c r="L2" s="2" t="inlineStr">
        <is>
          <t>无</t>
        </is>
      </c>
      <c r="M2" s="2" t="inlineStr">
        <is>
          <t>baseline + risk list 完成</t>
        </is>
      </c>
      <c r="N2" s="2" t="n"/>
    </row>
    <row r="3" ht="43.2" customHeight="1" s="38">
      <c r="A3" s="23" t="inlineStr">
        <is>
          <t>MLE-1</t>
        </is>
      </c>
      <c r="B3" s="23" t="inlineStr">
        <is>
          <t>工程</t>
        </is>
      </c>
      <c r="C3" s="2" t="inlineStr">
        <is>
          <t>M1 订单生成逻辑</t>
        </is>
      </c>
      <c r="D3" s="43" t="n">
        <v>46153</v>
      </c>
      <c r="E3" s="43" t="n">
        <v>46171</v>
      </c>
      <c r="F3" s="23" t="inlineStr">
        <is>
          <t>14d</t>
        </is>
      </c>
      <c r="G3" s="44">
        <f>SUMIF('Daily Plan'!$C:$C,A3,'Daily Plan'!$H:$H)</f>
        <v/>
      </c>
      <c r="H3" s="44">
        <f>SUMIF('Daily Plan'!$C:$C,A3,'Daily Plan'!$I:$I)</f>
        <v/>
      </c>
      <c r="I3" s="44">
        <f>MAX(G3-H3,0)</f>
        <v/>
      </c>
      <c r="J3" s="25">
        <f>IF(G3=0,IF(K3="done",1,0),H3/G3)</f>
        <v/>
      </c>
      <c r="K3" s="23" t="inlineStr">
        <is>
          <t>in-progress</t>
        </is>
      </c>
      <c r="L3" s="2" t="inlineStr">
        <is>
          <t>P0</t>
        </is>
      </c>
      <c r="M3" s="2" t="inlineStr">
        <is>
          <t>demand_planning_refactor 已实现；待主入口切换、OrderLog/SupplyDemandLog 回归和性能确认</t>
        </is>
      </c>
      <c r="N3" s="2" t="inlineStr">
        <is>
          <t>2026-05-08 按重构代码同步计划，后续以回归和集成切换为主</t>
        </is>
      </c>
    </row>
    <row r="4">
      <c r="A4" s="23" t="inlineStr">
        <is>
          <t>MLE-2</t>
        </is>
      </c>
      <c r="B4" s="23" t="inlineStr">
        <is>
          <t>工程</t>
        </is>
      </c>
      <c r="C4" s="2" t="inlineStr">
        <is>
          <t>M4 多产线排程</t>
        </is>
      </c>
      <c r="D4" s="43" t="n">
        <v>46174</v>
      </c>
      <c r="E4" s="43" t="n">
        <v>46199</v>
      </c>
      <c r="F4" s="23" t="inlineStr">
        <is>
          <t>19d</t>
        </is>
      </c>
      <c r="G4" s="44">
        <f>SUMIF('Daily Plan'!$C:$C,A4,'Daily Plan'!$H:$H)</f>
        <v/>
      </c>
      <c r="H4" s="44">
        <f>SUMIF('Daily Plan'!$C:$C,A4,'Daily Plan'!$I:$I)</f>
        <v/>
      </c>
      <c r="I4" s="44">
        <f>MAX(G4-H4,0)</f>
        <v/>
      </c>
      <c r="J4" s="25">
        <f>IF(G4=0,IF(K4="done",1,0),H4/G4)</f>
        <v/>
      </c>
      <c r="K4" s="23" t="inlineStr">
        <is>
          <t>pending</t>
        </is>
      </c>
      <c r="L4" s="2" t="inlineStr">
        <is>
          <t>P0</t>
        </is>
      </c>
      <c r="M4" s="2" t="inlineStr">
        <is>
          <t>多产线 case 通过，输出兼容</t>
        </is>
      </c>
      <c r="N4" s="2" t="n"/>
    </row>
    <row r="5">
      <c r="A5" s="23" t="inlineStr">
        <is>
          <t>CDP-1</t>
        </is>
      </c>
      <c r="B5" s="23" t="inlineStr">
        <is>
          <t>代码设计</t>
        </is>
      </c>
      <c r="C5" s="2" t="inlineStr">
        <is>
          <t>1000+ 行函数拆分</t>
        </is>
      </c>
      <c r="D5" s="43" t="n">
        <v>46169</v>
      </c>
      <c r="E5" s="43" t="n">
        <v>46190</v>
      </c>
      <c r="F5" s="23" t="inlineStr">
        <is>
          <t>2d</t>
        </is>
      </c>
      <c r="G5" s="44">
        <f>SUMIF('Daily Plan'!$C:$C,A5,'Daily Plan'!$H:$H)</f>
        <v/>
      </c>
      <c r="H5" s="44">
        <f>SUMIF('Daily Plan'!$C:$C,A5,'Daily Plan'!$I:$I)</f>
        <v/>
      </c>
      <c r="I5" s="44">
        <f>MAX(G5-H5,0)</f>
        <v/>
      </c>
      <c r="J5" s="25">
        <f>IF(G5=0,IF(K5="done",1,0),H5/G5)</f>
        <v/>
      </c>
      <c r="K5" s="23" t="inlineStr">
        <is>
          <t>pending</t>
        </is>
      </c>
      <c r="L5" s="2" t="inlineStr">
        <is>
          <t>MLE-1/MLE-2</t>
        </is>
      </c>
      <c r="M5" s="2" t="inlineStr">
        <is>
          <t>长函数拆分 PR 完成且测试保护通过</t>
        </is>
      </c>
      <c r="N5" s="2" t="inlineStr">
        <is>
          <t>离散排期：5/27, 6/17</t>
        </is>
      </c>
    </row>
    <row r="6">
      <c r="A6" s="23" t="inlineStr">
        <is>
          <t>MLE-3</t>
        </is>
      </c>
      <c r="B6" s="23" t="inlineStr">
        <is>
          <t>工程</t>
        </is>
      </c>
      <c r="C6" s="2" t="inlineStr">
        <is>
          <t>filtered dataframe 优化</t>
        </is>
      </c>
      <c r="D6" s="43" t="n">
        <v>46202</v>
      </c>
      <c r="E6" s="43" t="n">
        <v>46206</v>
      </c>
      <c r="F6" s="23" t="inlineStr">
        <is>
          <t>5d</t>
        </is>
      </c>
      <c r="G6" s="44">
        <f>SUMIF('Daily Plan'!$C:$C,A6,'Daily Plan'!$H:$H)</f>
        <v/>
      </c>
      <c r="H6" s="44">
        <f>SUMIF('Daily Plan'!$C:$C,A6,'Daily Plan'!$I:$I)</f>
        <v/>
      </c>
      <c r="I6" s="44">
        <f>MAX(G6-H6,0)</f>
        <v/>
      </c>
      <c r="J6" s="25">
        <f>IF(G6=0,IF(K6="done",1,0),H6/G6)</f>
        <v/>
      </c>
      <c r="K6" s="23" t="inlineStr">
        <is>
          <t>pending</t>
        </is>
      </c>
      <c r="L6" s="2" t="inlineStr">
        <is>
          <t>MLE-1/MLE-2</t>
        </is>
      </c>
      <c r="M6" s="2" t="inlineStr">
        <is>
          <t>无 chained indexing 风险</t>
        </is>
      </c>
      <c r="N6" s="2" t="n"/>
    </row>
    <row r="7">
      <c r="A7" s="23" t="inlineStr">
        <is>
          <t>VAL-1</t>
        </is>
      </c>
      <c r="B7" s="23" t="inlineStr">
        <is>
          <t>校验</t>
        </is>
      </c>
      <c r="C7" s="2" t="inlineStr">
        <is>
          <t>输入数据校验</t>
        </is>
      </c>
      <c r="D7" s="43" t="n">
        <v>46209</v>
      </c>
      <c r="E7" s="43" t="n">
        <v>46213</v>
      </c>
      <c r="F7" s="23" t="inlineStr">
        <is>
          <t>5d</t>
        </is>
      </c>
      <c r="G7" s="44">
        <f>SUMIF('Daily Plan'!$C:$C,A7,'Daily Plan'!$H:$H)</f>
        <v/>
      </c>
      <c r="H7" s="44">
        <f>SUMIF('Daily Plan'!$C:$C,A7,'Daily Plan'!$I:$I)</f>
        <v/>
      </c>
      <c r="I7" s="44">
        <f>MAX(G7-H7,0)</f>
        <v/>
      </c>
      <c r="J7" s="25">
        <f>IF(G7=0,IF(K7="done",1,0),H7/G7)</f>
        <v/>
      </c>
      <c r="K7" s="23" t="inlineStr">
        <is>
          <t>pending</t>
        </is>
      </c>
      <c r="L7" s="2" t="inlineStr">
        <is>
          <t>P0</t>
        </is>
      </c>
      <c r="M7" s="2" t="inlineStr">
        <is>
          <t>bad data 可被准确拦截</t>
        </is>
      </c>
      <c r="N7" s="2" t="n"/>
    </row>
    <row r="8">
      <c r="A8" s="23" t="inlineStr">
        <is>
          <t>MLE-4</t>
        </is>
      </c>
      <c r="B8" s="23" t="inlineStr">
        <is>
          <t>工程</t>
        </is>
      </c>
      <c r="C8" s="2" t="inlineStr">
        <is>
          <t>避免逐日 append</t>
        </is>
      </c>
      <c r="D8" s="43" t="n">
        <v>46216</v>
      </c>
      <c r="E8" s="43" t="n">
        <v>46220</v>
      </c>
      <c r="F8" s="23" t="inlineStr">
        <is>
          <t>5d</t>
        </is>
      </c>
      <c r="G8" s="44">
        <f>SUMIF('Daily Plan'!$C:$C,A8,'Daily Plan'!$H:$H)</f>
        <v/>
      </c>
      <c r="H8" s="44">
        <f>SUMIF('Daily Plan'!$C:$C,A8,'Daily Plan'!$I:$I)</f>
        <v/>
      </c>
      <c r="I8" s="44">
        <f>MAX(G8-H8,0)</f>
        <v/>
      </c>
      <c r="J8" s="25">
        <f>IF(G8=0,IF(K8="done",1,0),H8/G8)</f>
        <v/>
      </c>
      <c r="K8" s="23" t="inlineStr">
        <is>
          <t>pending</t>
        </is>
      </c>
      <c r="L8" s="2" t="inlineStr">
        <is>
          <t>MLE-3</t>
        </is>
      </c>
      <c r="M8" s="2" t="inlineStr">
        <is>
          <t>高频 append 清零或可解释</t>
        </is>
      </c>
      <c r="N8" s="2" t="n"/>
    </row>
    <row r="9">
      <c r="A9" s="23" t="inlineStr">
        <is>
          <t>VAL-2</t>
        </is>
      </c>
      <c r="B9" s="23" t="inlineStr">
        <is>
          <t>校验</t>
        </is>
      </c>
      <c r="C9" s="2" t="inlineStr">
        <is>
          <t>中间数据校验</t>
        </is>
      </c>
      <c r="D9" s="43" t="n">
        <v>46223</v>
      </c>
      <c r="E9" s="43" t="n">
        <v>46227</v>
      </c>
      <c r="F9" s="23" t="inlineStr">
        <is>
          <t>5d</t>
        </is>
      </c>
      <c r="G9" s="44">
        <f>SUMIF('Daily Plan'!$C:$C,A9,'Daily Plan'!$H:$H)</f>
        <v/>
      </c>
      <c r="H9" s="44">
        <f>SUMIF('Daily Plan'!$C:$C,A9,'Daily Plan'!$I:$I)</f>
        <v/>
      </c>
      <c r="I9" s="44">
        <f>MAX(G9-H9,0)</f>
        <v/>
      </c>
      <c r="J9" s="25">
        <f>IF(G9=0,IF(K9="done",1,0),H9/G9)</f>
        <v/>
      </c>
      <c r="K9" s="23" t="inlineStr">
        <is>
          <t>pending</t>
        </is>
      </c>
      <c r="L9" s="2" t="inlineStr">
        <is>
          <t>VAL-1</t>
        </is>
      </c>
      <c r="M9" s="2" t="inlineStr">
        <is>
          <t>每日中间表校验报告</t>
        </is>
      </c>
      <c r="N9" s="2" t="n"/>
    </row>
    <row r="10">
      <c r="A10" s="23" t="inlineStr">
        <is>
          <t>TEST-1</t>
        </is>
      </c>
      <c r="B10" s="23" t="inlineStr">
        <is>
          <t>测试</t>
        </is>
      </c>
      <c r="C10" s="2" t="inlineStr">
        <is>
          <t>E2E 网络构建</t>
        </is>
      </c>
      <c r="D10" s="43" t="n">
        <v>46230</v>
      </c>
      <c r="E10" s="43" t="n">
        <v>46248</v>
      </c>
      <c r="F10" s="23" t="inlineStr">
        <is>
          <t>15d</t>
        </is>
      </c>
      <c r="G10" s="44">
        <f>SUMIF('Daily Plan'!$C:$C,A10,'Daily Plan'!$H:$H)</f>
        <v/>
      </c>
      <c r="H10" s="44">
        <f>SUMIF('Daily Plan'!$C:$C,A10,'Daily Plan'!$I:$I)</f>
        <v/>
      </c>
      <c r="I10" s="44">
        <f>MAX(G10-H10,0)</f>
        <v/>
      </c>
      <c r="J10" s="25">
        <f>IF(G10=0,IF(K10="done",1,0),H10/G10)</f>
        <v/>
      </c>
      <c r="K10" s="23" t="inlineStr">
        <is>
          <t>pending</t>
        </is>
      </c>
      <c r="L10" s="2" t="inlineStr">
        <is>
          <t>MLE/VAL</t>
        </is>
      </c>
      <c r="M10" s="2" t="inlineStr">
        <is>
          <t>30 天 E2E 成功跑通</t>
        </is>
      </c>
      <c r="N10" s="2" t="n"/>
    </row>
    <row r="11">
      <c r="A11" s="23" t="inlineStr">
        <is>
          <t>DOC-2</t>
        </is>
      </c>
      <c r="B11" s="23" t="inlineStr">
        <is>
          <t>文档</t>
        </is>
      </c>
      <c r="C11" s="2" t="inlineStr">
        <is>
          <t>历史回测文档</t>
        </is>
      </c>
      <c r="D11" s="43" t="n">
        <v>46251</v>
      </c>
      <c r="E11" s="43" t="n">
        <v>46262</v>
      </c>
      <c r="F11" s="23" t="inlineStr">
        <is>
          <t>10d</t>
        </is>
      </c>
      <c r="G11" s="44">
        <f>SUMIF('Daily Plan'!$C:$C,A11,'Daily Plan'!$H:$H)</f>
        <v/>
      </c>
      <c r="H11" s="44">
        <f>SUMIF('Daily Plan'!$C:$C,A11,'Daily Plan'!$I:$I)</f>
        <v/>
      </c>
      <c r="I11" s="44">
        <f>MAX(G11-H11,0)</f>
        <v/>
      </c>
      <c r="J11" s="25">
        <f>IF(G11=0,IF(K11="done",1,0),H11/G11)</f>
        <v/>
      </c>
      <c r="K11" s="23" t="inlineStr">
        <is>
          <t>pending</t>
        </is>
      </c>
      <c r="L11" s="2" t="inlineStr">
        <is>
          <t>TEST-1</t>
        </is>
      </c>
      <c r="M11" s="2" t="inlineStr">
        <is>
          <t>simulated vs actual KPI 报告</t>
        </is>
      </c>
      <c r="N11" s="2" t="n"/>
    </row>
    <row r="12">
      <c r="A12" s="23" t="inlineStr">
        <is>
          <t>DOC-3</t>
        </is>
      </c>
      <c r="B12" s="23" t="inlineStr">
        <is>
          <t>文档</t>
        </is>
      </c>
      <c r="C12" s="2" t="inlineStr">
        <is>
          <t>trade-off 分析</t>
        </is>
      </c>
      <c r="D12" s="43" t="n">
        <v>46265</v>
      </c>
      <c r="E12" s="43" t="n">
        <v>46276</v>
      </c>
      <c r="F12" s="23" t="inlineStr">
        <is>
          <t>10d</t>
        </is>
      </c>
      <c r="G12" s="44">
        <f>SUMIF('Daily Plan'!$C:$C,A12,'Daily Plan'!$H:$H)</f>
        <v/>
      </c>
      <c r="H12" s="44">
        <f>SUMIF('Daily Plan'!$C:$C,A12,'Daily Plan'!$I:$I)</f>
        <v/>
      </c>
      <c r="I12" s="44">
        <f>MAX(G12-H12,0)</f>
        <v/>
      </c>
      <c r="J12" s="25">
        <f>IF(G12=0,IF(K12="done",1,0),H12/G12)</f>
        <v/>
      </c>
      <c r="K12" s="23" t="inlineStr">
        <is>
          <t>pending</t>
        </is>
      </c>
      <c r="L12" s="2" t="inlineStr">
        <is>
          <t>TEST-1</t>
        </is>
      </c>
      <c r="M12" s="2" t="inlineStr">
        <is>
          <t>cost/cash/service 报告</t>
        </is>
      </c>
      <c r="N12" s="2" t="n"/>
    </row>
    <row r="13">
      <c r="A13" s="23" t="inlineStr">
        <is>
          <t>DOC-4</t>
        </is>
      </c>
      <c r="B13" s="23" t="inlineStr">
        <is>
          <t>文档</t>
        </is>
      </c>
      <c r="C13" s="2" t="inlineStr">
        <is>
          <t>PG 数据分布</t>
        </is>
      </c>
      <c r="D13" s="43" t="n">
        <v>46279</v>
      </c>
      <c r="E13" s="43" t="n">
        <v>46290</v>
      </c>
      <c r="F13" s="23" t="inlineStr">
        <is>
          <t>10d</t>
        </is>
      </c>
      <c r="G13" s="44">
        <f>SUMIF('Daily Plan'!$C:$C,A13,'Daily Plan'!$H:$H)</f>
        <v/>
      </c>
      <c r="H13" s="44">
        <f>SUMIF('Daily Plan'!$C:$C,A13,'Daily Plan'!$I:$I)</f>
        <v/>
      </c>
      <c r="I13" s="44">
        <f>MAX(G13-H13,0)</f>
        <v/>
      </c>
      <c r="J13" s="25">
        <f>IF(G13=0,IF(K13="done",1,0),H13/G13)</f>
        <v/>
      </c>
      <c r="K13" s="23" t="inlineStr">
        <is>
          <t>pending</t>
        </is>
      </c>
      <c r="L13" s="2" t="inlineStr">
        <is>
          <t>P0</t>
        </is>
      </c>
      <c r="M13" s="2" t="inlineStr">
        <is>
          <t>PG 数据分布报告</t>
        </is>
      </c>
      <c r="N13" s="2" t="n"/>
    </row>
    <row r="14" ht="28.8" customHeight="1" s="38">
      <c r="A14" s="23" t="inlineStr">
        <is>
          <t>DOC-1</t>
        </is>
      </c>
      <c r="B14" s="23" t="inlineStr">
        <is>
          <t>文档</t>
        </is>
      </c>
      <c r="C14" s="2" t="inlineStr">
        <is>
          <t>scope/problem/success criteria</t>
        </is>
      </c>
      <c r="D14" s="43" t="n">
        <v>46293</v>
      </c>
      <c r="E14" s="43" t="n">
        <v>46304</v>
      </c>
      <c r="F14" s="23" t="inlineStr">
        <is>
          <t>10d</t>
        </is>
      </c>
      <c r="G14" s="44">
        <f>SUMIF('Daily Plan'!$C:$C,A14,'Daily Plan'!$H:$H)</f>
        <v/>
      </c>
      <c r="H14" s="44">
        <f>SUMIF('Daily Plan'!$C:$C,A14,'Daily Plan'!$I:$I)</f>
        <v/>
      </c>
      <c r="I14" s="44">
        <f>MAX(G14-H14,0)</f>
        <v/>
      </c>
      <c r="J14" s="25">
        <f>IF(G14=0,IF(K14="done",1,0),H14/G14)</f>
        <v/>
      </c>
      <c r="K14" s="23" t="inlineStr">
        <is>
          <t>pending</t>
        </is>
      </c>
      <c r="L14" s="2" t="inlineStr">
        <is>
          <t>所有阶段</t>
        </is>
      </c>
      <c r="M14" s="2" t="inlineStr">
        <is>
          <t>最终范围与成功标准</t>
        </is>
      </c>
      <c r="N14" s="2" t="n"/>
    </row>
    <row r="15">
      <c r="A15" s="23" t="inlineStr">
        <is>
          <t>CDP-2</t>
        </is>
      </c>
      <c r="B15" s="23" t="inlineStr">
        <is>
          <t>代码设计</t>
        </is>
      </c>
      <c r="C15" s="2" t="inlineStr">
        <is>
          <t>硬编码参数清理</t>
        </is>
      </c>
      <c r="D15" s="43" t="n"/>
      <c r="E15" s="43" t="n"/>
      <c r="F15" s="23" t="inlineStr">
        <is>
          <t>0d</t>
        </is>
      </c>
      <c r="G15" s="44">
        <f>SUMIF('Daily Plan'!$C:$C,A15,'Daily Plan'!$H:$H)</f>
        <v/>
      </c>
      <c r="H15" s="44">
        <f>SUMIF('Daily Plan'!$C:$C,A15,'Daily Plan'!$I:$I)</f>
        <v/>
      </c>
      <c r="I15" s="44">
        <f>MAX(G15-H15,0)</f>
        <v/>
      </c>
      <c r="J15" s="25">
        <f>IF(G15=0,IF(K15="done",1,0),H15/G15)</f>
        <v/>
      </c>
      <c r="K15" s="23" t="inlineStr">
        <is>
          <t>done</t>
        </is>
      </c>
      <c r="L15" s="2" t="inlineStr">
        <is>
          <t>无</t>
        </is>
      </c>
      <c r="M15" s="2" t="inlineStr">
        <is>
          <t>已完成，无新增计划工时</t>
        </is>
      </c>
      <c r="N15" s="2" t="n"/>
    </row>
    <row r="16">
      <c r="A16" s="23" t="inlineStr">
        <is>
          <t>CDP-3</t>
        </is>
      </c>
      <c r="B16" s="23" t="inlineStr">
        <is>
          <t>代码设计</t>
        </is>
      </c>
      <c r="C16" s="2" t="inlineStr">
        <is>
          <t>死代码与注释块清理</t>
        </is>
      </c>
      <c r="D16" s="43" t="n"/>
      <c r="E16" s="43" t="n"/>
      <c r="F16" s="23" t="inlineStr">
        <is>
          <t>0d</t>
        </is>
      </c>
      <c r="G16" s="44">
        <f>SUMIF('Daily Plan'!$C:$C,A16,'Daily Plan'!$H:$H)</f>
        <v/>
      </c>
      <c r="H16" s="44">
        <f>SUMIF('Daily Plan'!$C:$C,A16,'Daily Plan'!$I:$I)</f>
        <v/>
      </c>
      <c r="I16" s="44">
        <f>MAX(G16-H16,0)</f>
        <v/>
      </c>
      <c r="J16" s="25">
        <f>IF(G16=0,IF(K16="done",1,0),H16/G16)</f>
        <v/>
      </c>
      <c r="K16" s="23" t="inlineStr">
        <is>
          <t>done</t>
        </is>
      </c>
      <c r="L16" s="2" t="inlineStr">
        <is>
          <t>无</t>
        </is>
      </c>
      <c r="M16" s="2" t="inlineStr">
        <is>
          <t>已完成，无新增计划工时</t>
        </is>
      </c>
      <c r="N16" s="2" t="n"/>
    </row>
    <row r="17">
      <c r="A17" s="23" t="inlineStr">
        <is>
          <t>FINAL</t>
        </is>
      </c>
      <c r="B17" s="23" t="inlineStr">
        <is>
          <t>收尾</t>
        </is>
      </c>
      <c r="C17" s="2" t="inlineStr">
        <is>
          <t>最终验收</t>
        </is>
      </c>
      <c r="D17" s="43" t="n">
        <v>46307</v>
      </c>
      <c r="E17" s="43" t="n">
        <v>46310</v>
      </c>
      <c r="F17" s="23" t="inlineStr">
        <is>
          <t>4d</t>
        </is>
      </c>
      <c r="G17" s="44">
        <f>SUMIF('Daily Plan'!$C:$C,A17,'Daily Plan'!$H:$H)</f>
        <v/>
      </c>
      <c r="H17" s="44">
        <f>SUMIF('Daily Plan'!$C:$C,A17,'Daily Plan'!$I:$I)</f>
        <v/>
      </c>
      <c r="I17" s="44">
        <f>MAX(G17-H17,0)</f>
        <v/>
      </c>
      <c r="J17" s="25">
        <f>IF(G17=0,IF(K17="done",1,0),H17/G17)</f>
        <v/>
      </c>
      <c r="K17" s="23" t="inlineStr">
        <is>
          <t>pending</t>
        </is>
      </c>
      <c r="L17" s="2" t="inlineStr">
        <is>
          <t>全部任务</t>
        </is>
      </c>
      <c r="M17" s="2" t="inlineStr">
        <is>
          <t>sign-off 完成</t>
        </is>
      </c>
      <c r="N17" s="2" t="n"/>
    </row>
  </sheetData>
  <autoFilter ref="A1:N17"/>
  <dataValidations count="1">
    <dataValidation sqref="K2:K17" showDropDown="0" showInputMessage="0" showErrorMessage="0" allowBlank="0" type="list">
      <formula1>"pending,in-progress,done,blocked"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S28"/>
  <sheetViews>
    <sheetView workbookViewId="0">
      <pane xSplit="12" ySplit="1" topLeftCell="M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2" customWidth="1" style="38" min="1" max="2"/>
    <col width="30" customWidth="1" style="38" min="3" max="3"/>
    <col width="12" customWidth="1" style="38" min="4" max="5"/>
    <col width="14" customWidth="1" style="38" min="6" max="6"/>
    <col width="12" customWidth="1" style="38" min="7" max="10"/>
    <col width="16" customWidth="1" style="38" min="11" max="11"/>
    <col width="42" customWidth="1" style="38" min="12" max="12"/>
    <col width="4" customWidth="1" style="38" min="13" max="175"/>
  </cols>
  <sheetData>
    <row r="1" ht="34.2" customHeight="1" s="38">
      <c r="A1" s="21" t="inlineStr">
        <is>
          <t>ID</t>
        </is>
      </c>
      <c r="B1" s="21" t="inlineStr">
        <is>
          <t>工作流</t>
        </is>
      </c>
      <c r="C1" s="21" t="inlineStr">
        <is>
          <t>任务</t>
        </is>
      </c>
      <c r="D1" s="21" t="inlineStr">
        <is>
          <t>计划开始</t>
        </is>
      </c>
      <c r="E1" s="21" t="inlineStr">
        <is>
          <t>计划结束</t>
        </is>
      </c>
      <c r="F1" s="21" t="inlineStr">
        <is>
          <t>状态</t>
        </is>
      </c>
      <c r="G1" s="21" t="inlineStr">
        <is>
          <t>计划工时</t>
        </is>
      </c>
      <c r="H1" s="21" t="inlineStr">
        <is>
          <t>已完成工时</t>
        </is>
      </c>
      <c r="I1" s="21" t="inlineStr">
        <is>
          <t>剩余工时</t>
        </is>
      </c>
      <c r="J1" s="21" t="inlineStr">
        <is>
          <t>工时进度</t>
        </is>
      </c>
      <c r="K1" s="21" t="inlineStr">
        <is>
          <t>依赖</t>
        </is>
      </c>
      <c r="L1" s="21" t="inlineStr">
        <is>
          <t>验收标准</t>
        </is>
      </c>
      <c r="M1" s="45" t="n">
        <v>46148</v>
      </c>
      <c r="N1" s="45" t="n">
        <v>46149</v>
      </c>
      <c r="O1" s="45" t="n">
        <v>46150</v>
      </c>
      <c r="P1" s="46" t="n">
        <v>46151</v>
      </c>
      <c r="Q1" s="46" t="n">
        <v>46152</v>
      </c>
      <c r="R1" s="45" t="n">
        <v>46153</v>
      </c>
      <c r="S1" s="45" t="n">
        <v>46154</v>
      </c>
      <c r="T1" s="45" t="n">
        <v>46155</v>
      </c>
      <c r="U1" s="45" t="n">
        <v>46156</v>
      </c>
      <c r="V1" s="45" t="n">
        <v>46157</v>
      </c>
      <c r="W1" s="46" t="n">
        <v>46158</v>
      </c>
      <c r="X1" s="46" t="n">
        <v>46159</v>
      </c>
      <c r="Y1" s="45" t="n">
        <v>46160</v>
      </c>
      <c r="Z1" s="45" t="n">
        <v>46161</v>
      </c>
      <c r="AA1" s="45" t="n">
        <v>46162</v>
      </c>
      <c r="AB1" s="45" t="n">
        <v>46163</v>
      </c>
      <c r="AC1" s="45" t="n">
        <v>46164</v>
      </c>
      <c r="AD1" s="46" t="n">
        <v>46165</v>
      </c>
      <c r="AE1" s="46" t="n">
        <v>46166</v>
      </c>
      <c r="AF1" s="45" t="n">
        <v>46167</v>
      </c>
      <c r="AG1" s="45" t="n">
        <v>46168</v>
      </c>
      <c r="AH1" s="45" t="n">
        <v>46169</v>
      </c>
      <c r="AI1" s="45" t="n">
        <v>46170</v>
      </c>
      <c r="AJ1" s="45" t="n">
        <v>46171</v>
      </c>
      <c r="AK1" s="46" t="n">
        <v>46172</v>
      </c>
      <c r="AL1" s="46" t="n">
        <v>46173</v>
      </c>
      <c r="AM1" s="45" t="n">
        <v>46174</v>
      </c>
      <c r="AN1" s="45" t="n">
        <v>46175</v>
      </c>
      <c r="AO1" s="45" t="n">
        <v>46176</v>
      </c>
      <c r="AP1" s="45" t="n">
        <v>46177</v>
      </c>
      <c r="AQ1" s="45" t="n">
        <v>46178</v>
      </c>
      <c r="AR1" s="46" t="n">
        <v>46179</v>
      </c>
      <c r="AS1" s="46" t="n">
        <v>46180</v>
      </c>
      <c r="AT1" s="45" t="n">
        <v>46181</v>
      </c>
      <c r="AU1" s="45" t="n">
        <v>46182</v>
      </c>
      <c r="AV1" s="45" t="n">
        <v>46183</v>
      </c>
      <c r="AW1" s="45" t="n">
        <v>46184</v>
      </c>
      <c r="AX1" s="45" t="n">
        <v>46185</v>
      </c>
      <c r="AY1" s="46" t="n">
        <v>46186</v>
      </c>
      <c r="AZ1" s="46" t="n">
        <v>46187</v>
      </c>
      <c r="BA1" s="45" t="n">
        <v>46188</v>
      </c>
      <c r="BB1" s="45" t="n">
        <v>46189</v>
      </c>
      <c r="BC1" s="45" t="n">
        <v>46190</v>
      </c>
      <c r="BD1" s="45" t="n">
        <v>46191</v>
      </c>
      <c r="BE1" s="45" t="n">
        <v>46192</v>
      </c>
      <c r="BF1" s="46" t="n">
        <v>46193</v>
      </c>
      <c r="BG1" s="46" t="n">
        <v>46194</v>
      </c>
      <c r="BH1" s="45" t="n">
        <v>46195</v>
      </c>
      <c r="BI1" s="45" t="n">
        <v>46196</v>
      </c>
      <c r="BJ1" s="45" t="n">
        <v>46197</v>
      </c>
      <c r="BK1" s="45" t="n">
        <v>46198</v>
      </c>
      <c r="BL1" s="45" t="n">
        <v>46199</v>
      </c>
      <c r="BM1" s="46" t="n">
        <v>46200</v>
      </c>
      <c r="BN1" s="46" t="n">
        <v>46201</v>
      </c>
      <c r="BO1" s="45" t="n">
        <v>46202</v>
      </c>
      <c r="BP1" s="45" t="n">
        <v>46203</v>
      </c>
      <c r="BQ1" s="45" t="n">
        <v>46204</v>
      </c>
      <c r="BR1" s="45" t="n">
        <v>46205</v>
      </c>
      <c r="BS1" s="45" t="n">
        <v>46206</v>
      </c>
      <c r="BT1" s="46" t="n">
        <v>46207</v>
      </c>
      <c r="BU1" s="46" t="n">
        <v>46208</v>
      </c>
      <c r="BV1" s="45" t="n">
        <v>46209</v>
      </c>
      <c r="BW1" s="45" t="n">
        <v>46210</v>
      </c>
      <c r="BX1" s="45" t="n">
        <v>46211</v>
      </c>
      <c r="BY1" s="45" t="n">
        <v>46212</v>
      </c>
      <c r="BZ1" s="45" t="n">
        <v>46213</v>
      </c>
      <c r="CA1" s="46" t="n">
        <v>46214</v>
      </c>
      <c r="CB1" s="46" t="n">
        <v>46215</v>
      </c>
      <c r="CC1" s="45" t="n">
        <v>46216</v>
      </c>
      <c r="CD1" s="45" t="n">
        <v>46217</v>
      </c>
      <c r="CE1" s="45" t="n">
        <v>46218</v>
      </c>
      <c r="CF1" s="45" t="n">
        <v>46219</v>
      </c>
      <c r="CG1" s="45" t="n">
        <v>46220</v>
      </c>
      <c r="CH1" s="46" t="n">
        <v>46221</v>
      </c>
      <c r="CI1" s="46" t="n">
        <v>46222</v>
      </c>
      <c r="CJ1" s="45" t="n">
        <v>46223</v>
      </c>
      <c r="CK1" s="45" t="n">
        <v>46224</v>
      </c>
      <c r="CL1" s="45" t="n">
        <v>46225</v>
      </c>
      <c r="CM1" s="45" t="n">
        <v>46226</v>
      </c>
      <c r="CN1" s="45" t="n">
        <v>46227</v>
      </c>
      <c r="CO1" s="46" t="n">
        <v>46228</v>
      </c>
      <c r="CP1" s="46" t="n">
        <v>46229</v>
      </c>
      <c r="CQ1" s="45" t="n">
        <v>46230</v>
      </c>
      <c r="CR1" s="45" t="n">
        <v>46231</v>
      </c>
      <c r="CS1" s="45" t="n">
        <v>46232</v>
      </c>
      <c r="CT1" s="45" t="n">
        <v>46233</v>
      </c>
      <c r="CU1" s="45" t="n">
        <v>46234</v>
      </c>
      <c r="CV1" s="46" t="n">
        <v>46235</v>
      </c>
      <c r="CW1" s="46" t="n">
        <v>46236</v>
      </c>
      <c r="CX1" s="45" t="n">
        <v>46237</v>
      </c>
      <c r="CY1" s="45" t="n">
        <v>46238</v>
      </c>
      <c r="CZ1" s="45" t="n">
        <v>46239</v>
      </c>
      <c r="DA1" s="45" t="n">
        <v>46240</v>
      </c>
      <c r="DB1" s="45" t="n">
        <v>46241</v>
      </c>
      <c r="DC1" s="46" t="n">
        <v>46242</v>
      </c>
      <c r="DD1" s="46" t="n">
        <v>46243</v>
      </c>
      <c r="DE1" s="45" t="n">
        <v>46244</v>
      </c>
      <c r="DF1" s="45" t="n">
        <v>46245</v>
      </c>
      <c r="DG1" s="45" t="n">
        <v>46246</v>
      </c>
      <c r="DH1" s="45" t="n">
        <v>46247</v>
      </c>
      <c r="DI1" s="45" t="n">
        <v>46248</v>
      </c>
      <c r="DJ1" s="46" t="n">
        <v>46249</v>
      </c>
      <c r="DK1" s="46" t="n">
        <v>46250</v>
      </c>
      <c r="DL1" s="45" t="n">
        <v>46251</v>
      </c>
      <c r="DM1" s="45" t="n">
        <v>46252</v>
      </c>
      <c r="DN1" s="45" t="n">
        <v>46253</v>
      </c>
      <c r="DO1" s="45" t="n">
        <v>46254</v>
      </c>
      <c r="DP1" s="45" t="n">
        <v>46255</v>
      </c>
      <c r="DQ1" s="46" t="n">
        <v>46256</v>
      </c>
      <c r="DR1" s="46" t="n">
        <v>46257</v>
      </c>
      <c r="DS1" s="45" t="n">
        <v>46258</v>
      </c>
      <c r="DT1" s="45" t="n">
        <v>46259</v>
      </c>
      <c r="DU1" s="45" t="n">
        <v>46260</v>
      </c>
      <c r="DV1" s="45" t="n">
        <v>46261</v>
      </c>
      <c r="DW1" s="45" t="n">
        <v>46262</v>
      </c>
      <c r="DX1" s="46" t="n">
        <v>46263</v>
      </c>
      <c r="DY1" s="46" t="n">
        <v>46264</v>
      </c>
      <c r="DZ1" s="45" t="n">
        <v>46265</v>
      </c>
      <c r="EA1" s="45" t="n">
        <v>46266</v>
      </c>
      <c r="EB1" s="45" t="n">
        <v>46267</v>
      </c>
      <c r="EC1" s="45" t="n">
        <v>46268</v>
      </c>
      <c r="ED1" s="45" t="n">
        <v>46269</v>
      </c>
      <c r="EE1" s="46" t="n">
        <v>46270</v>
      </c>
      <c r="EF1" s="46" t="n">
        <v>46271</v>
      </c>
      <c r="EG1" s="45" t="n">
        <v>46272</v>
      </c>
      <c r="EH1" s="45" t="n">
        <v>46273</v>
      </c>
      <c r="EI1" s="45" t="n">
        <v>46274</v>
      </c>
      <c r="EJ1" s="45" t="n">
        <v>46275</v>
      </c>
      <c r="EK1" s="45" t="n">
        <v>46276</v>
      </c>
      <c r="EL1" s="46" t="n">
        <v>46277</v>
      </c>
      <c r="EM1" s="46" t="n">
        <v>46278</v>
      </c>
      <c r="EN1" s="45" t="n">
        <v>46279</v>
      </c>
      <c r="EO1" s="45" t="n">
        <v>46280</v>
      </c>
      <c r="EP1" s="45" t="n">
        <v>46281</v>
      </c>
      <c r="EQ1" s="45" t="n">
        <v>46282</v>
      </c>
      <c r="ER1" s="45" t="n">
        <v>46283</v>
      </c>
      <c r="ES1" s="46" t="n">
        <v>46284</v>
      </c>
      <c r="ET1" s="46" t="n">
        <v>46285</v>
      </c>
      <c r="EU1" s="45" t="n">
        <v>46286</v>
      </c>
      <c r="EV1" s="45" t="n">
        <v>46287</v>
      </c>
      <c r="EW1" s="45" t="n">
        <v>46288</v>
      </c>
      <c r="EX1" s="45" t="n">
        <v>46289</v>
      </c>
      <c r="EY1" s="45" t="n">
        <v>46290</v>
      </c>
      <c r="EZ1" s="46" t="n">
        <v>46291</v>
      </c>
      <c r="FA1" s="46" t="n">
        <v>46292</v>
      </c>
      <c r="FB1" s="45" t="n">
        <v>46293</v>
      </c>
      <c r="FC1" s="45" t="n">
        <v>46294</v>
      </c>
      <c r="FD1" s="45" t="n">
        <v>46295</v>
      </c>
      <c r="FE1" s="45" t="n">
        <v>46296</v>
      </c>
      <c r="FF1" s="45" t="n">
        <v>46297</v>
      </c>
      <c r="FG1" s="46" t="n">
        <v>46298</v>
      </c>
      <c r="FH1" s="46" t="n">
        <v>46299</v>
      </c>
      <c r="FI1" s="45" t="n">
        <v>46300</v>
      </c>
      <c r="FJ1" s="45" t="n">
        <v>46301</v>
      </c>
      <c r="FK1" s="45" t="n">
        <v>46302</v>
      </c>
      <c r="FL1" s="45" t="n">
        <v>46303</v>
      </c>
      <c r="FM1" s="45" t="n">
        <v>46304</v>
      </c>
      <c r="FN1" s="46" t="n">
        <v>46305</v>
      </c>
      <c r="FO1" s="46" t="n">
        <v>46306</v>
      </c>
      <c r="FP1" s="45" t="n">
        <v>46307</v>
      </c>
      <c r="FQ1" s="45" t="n">
        <v>46308</v>
      </c>
      <c r="FR1" s="45" t="n">
        <v>46309</v>
      </c>
      <c r="FS1" s="45" t="n">
        <v>46310</v>
      </c>
    </row>
    <row r="2">
      <c r="A2" s="23" t="inlineStr">
        <is>
          <t>P0</t>
        </is>
      </c>
      <c r="B2" s="23" t="inlineStr">
        <is>
          <t>启动</t>
        </is>
      </c>
      <c r="C2" s="2" t="inlineStr">
        <is>
          <t>基线、风险、计划</t>
        </is>
      </c>
      <c r="D2" s="43" t="n">
        <v>46148</v>
      </c>
      <c r="E2" s="43" t="n">
        <v>46150</v>
      </c>
      <c r="F2" s="23" t="inlineStr">
        <is>
          <t>pending</t>
        </is>
      </c>
      <c r="G2" s="44">
        <f>SUMIF('Daily Plan'!$C:$C,A2,'Daily Plan'!$H:$H)</f>
        <v/>
      </c>
      <c r="H2" s="44">
        <f>SUMIF('Daily Plan'!$C:$C,A2,'Daily Plan'!$I:$I)</f>
        <v/>
      </c>
      <c r="I2" s="44">
        <f>MAX(G2-H2,0)</f>
        <v/>
      </c>
      <c r="J2" s="25">
        <f>IF(G2=0,IF(F2="done",1,0),H2/G2)</f>
        <v/>
      </c>
      <c r="K2" s="2" t="inlineStr">
        <is>
          <t>无</t>
        </is>
      </c>
      <c r="L2" s="2" t="inlineStr">
        <is>
          <t>baseline + risk list 完成</t>
        </is>
      </c>
      <c r="M2" s="47">
        <f>SUMIFS('Daily Plan'!$H:$H,'Daily Plan'!$C:$C,$A2,'Daily Plan'!$A:$A,M$1)</f>
        <v/>
      </c>
      <c r="N2" s="47">
        <f>SUMIFS('Daily Plan'!$H:$H,'Daily Plan'!$C:$C,$A2,'Daily Plan'!$A:$A,N$1)</f>
        <v/>
      </c>
      <c r="O2" s="47">
        <f>SUMIFS('Daily Plan'!$H:$H,'Daily Plan'!$C:$C,$A2,'Daily Plan'!$A:$A,O$1)</f>
        <v/>
      </c>
      <c r="P2" s="48">
        <f>SUMIFS('Daily Plan'!$H:$H,'Daily Plan'!$C:$C,$A2,'Daily Plan'!$A:$A,P$1)</f>
        <v/>
      </c>
      <c r="Q2" s="48">
        <f>SUMIFS('Daily Plan'!$H:$H,'Daily Plan'!$C:$C,$A2,'Daily Plan'!$A:$A,Q$1)</f>
        <v/>
      </c>
      <c r="R2" s="47">
        <f>SUMIFS('Daily Plan'!$H:$H,'Daily Plan'!$C:$C,$A2,'Daily Plan'!$A:$A,R$1)</f>
        <v/>
      </c>
      <c r="S2" s="47">
        <f>SUMIFS('Daily Plan'!$H:$H,'Daily Plan'!$C:$C,$A2,'Daily Plan'!$A:$A,S$1)</f>
        <v/>
      </c>
      <c r="T2" s="47">
        <f>SUMIFS('Daily Plan'!$H:$H,'Daily Plan'!$C:$C,$A2,'Daily Plan'!$A:$A,T$1)</f>
        <v/>
      </c>
      <c r="U2" s="47">
        <f>SUMIFS('Daily Plan'!$H:$H,'Daily Plan'!$C:$C,$A2,'Daily Plan'!$A:$A,U$1)</f>
        <v/>
      </c>
      <c r="V2" s="47">
        <f>SUMIFS('Daily Plan'!$H:$H,'Daily Plan'!$C:$C,$A2,'Daily Plan'!$A:$A,V$1)</f>
        <v/>
      </c>
      <c r="W2" s="48">
        <f>SUMIFS('Daily Plan'!$H:$H,'Daily Plan'!$C:$C,$A2,'Daily Plan'!$A:$A,W$1)</f>
        <v/>
      </c>
      <c r="X2" s="48">
        <f>SUMIFS('Daily Plan'!$H:$H,'Daily Plan'!$C:$C,$A2,'Daily Plan'!$A:$A,X$1)</f>
        <v/>
      </c>
      <c r="Y2" s="47">
        <f>SUMIFS('Daily Plan'!$H:$H,'Daily Plan'!$C:$C,$A2,'Daily Plan'!$A:$A,Y$1)</f>
        <v/>
      </c>
      <c r="Z2" s="47">
        <f>SUMIFS('Daily Plan'!$H:$H,'Daily Plan'!$C:$C,$A2,'Daily Plan'!$A:$A,Z$1)</f>
        <v/>
      </c>
      <c r="AA2" s="47">
        <f>SUMIFS('Daily Plan'!$H:$H,'Daily Plan'!$C:$C,$A2,'Daily Plan'!$A:$A,AA$1)</f>
        <v/>
      </c>
      <c r="AB2" s="47">
        <f>SUMIFS('Daily Plan'!$H:$H,'Daily Plan'!$C:$C,$A2,'Daily Plan'!$A:$A,AB$1)</f>
        <v/>
      </c>
      <c r="AC2" s="47">
        <f>SUMIFS('Daily Plan'!$H:$H,'Daily Plan'!$C:$C,$A2,'Daily Plan'!$A:$A,AC$1)</f>
        <v/>
      </c>
      <c r="AD2" s="48">
        <f>SUMIFS('Daily Plan'!$H:$H,'Daily Plan'!$C:$C,$A2,'Daily Plan'!$A:$A,AD$1)</f>
        <v/>
      </c>
      <c r="AE2" s="48">
        <f>SUMIFS('Daily Plan'!$H:$H,'Daily Plan'!$C:$C,$A2,'Daily Plan'!$A:$A,AE$1)</f>
        <v/>
      </c>
      <c r="AF2" s="47">
        <f>SUMIFS('Daily Plan'!$H:$H,'Daily Plan'!$C:$C,$A2,'Daily Plan'!$A:$A,AF$1)</f>
        <v/>
      </c>
      <c r="AG2" s="47">
        <f>SUMIFS('Daily Plan'!$H:$H,'Daily Plan'!$C:$C,$A2,'Daily Plan'!$A:$A,AG$1)</f>
        <v/>
      </c>
      <c r="AH2" s="47">
        <f>SUMIFS('Daily Plan'!$H:$H,'Daily Plan'!$C:$C,$A2,'Daily Plan'!$A:$A,AH$1)</f>
        <v/>
      </c>
      <c r="AI2" s="47">
        <f>SUMIFS('Daily Plan'!$H:$H,'Daily Plan'!$C:$C,$A2,'Daily Plan'!$A:$A,AI$1)</f>
        <v/>
      </c>
      <c r="AJ2" s="47">
        <f>SUMIFS('Daily Plan'!$H:$H,'Daily Plan'!$C:$C,$A2,'Daily Plan'!$A:$A,AJ$1)</f>
        <v/>
      </c>
      <c r="AK2" s="48">
        <f>SUMIFS('Daily Plan'!$H:$H,'Daily Plan'!$C:$C,$A2,'Daily Plan'!$A:$A,AK$1)</f>
        <v/>
      </c>
      <c r="AL2" s="48">
        <f>SUMIFS('Daily Plan'!$H:$H,'Daily Plan'!$C:$C,$A2,'Daily Plan'!$A:$A,AL$1)</f>
        <v/>
      </c>
      <c r="AM2" s="47">
        <f>SUMIFS('Daily Plan'!$H:$H,'Daily Plan'!$C:$C,$A2,'Daily Plan'!$A:$A,AM$1)</f>
        <v/>
      </c>
      <c r="AN2" s="47">
        <f>SUMIFS('Daily Plan'!$H:$H,'Daily Plan'!$C:$C,$A2,'Daily Plan'!$A:$A,AN$1)</f>
        <v/>
      </c>
      <c r="AO2" s="47">
        <f>SUMIFS('Daily Plan'!$H:$H,'Daily Plan'!$C:$C,$A2,'Daily Plan'!$A:$A,AO$1)</f>
        <v/>
      </c>
      <c r="AP2" s="47">
        <f>SUMIFS('Daily Plan'!$H:$H,'Daily Plan'!$C:$C,$A2,'Daily Plan'!$A:$A,AP$1)</f>
        <v/>
      </c>
      <c r="AQ2" s="47">
        <f>SUMIFS('Daily Plan'!$H:$H,'Daily Plan'!$C:$C,$A2,'Daily Plan'!$A:$A,AQ$1)</f>
        <v/>
      </c>
      <c r="AR2" s="48">
        <f>SUMIFS('Daily Plan'!$H:$H,'Daily Plan'!$C:$C,$A2,'Daily Plan'!$A:$A,AR$1)</f>
        <v/>
      </c>
      <c r="AS2" s="48">
        <f>SUMIFS('Daily Plan'!$H:$H,'Daily Plan'!$C:$C,$A2,'Daily Plan'!$A:$A,AS$1)</f>
        <v/>
      </c>
      <c r="AT2" s="47">
        <f>SUMIFS('Daily Plan'!$H:$H,'Daily Plan'!$C:$C,$A2,'Daily Plan'!$A:$A,AT$1)</f>
        <v/>
      </c>
      <c r="AU2" s="47">
        <f>SUMIFS('Daily Plan'!$H:$H,'Daily Plan'!$C:$C,$A2,'Daily Plan'!$A:$A,AU$1)</f>
        <v/>
      </c>
      <c r="AV2" s="47">
        <f>SUMIFS('Daily Plan'!$H:$H,'Daily Plan'!$C:$C,$A2,'Daily Plan'!$A:$A,AV$1)</f>
        <v/>
      </c>
      <c r="AW2" s="47">
        <f>SUMIFS('Daily Plan'!$H:$H,'Daily Plan'!$C:$C,$A2,'Daily Plan'!$A:$A,AW$1)</f>
        <v/>
      </c>
      <c r="AX2" s="47">
        <f>SUMIFS('Daily Plan'!$H:$H,'Daily Plan'!$C:$C,$A2,'Daily Plan'!$A:$A,AX$1)</f>
        <v/>
      </c>
      <c r="AY2" s="48">
        <f>SUMIFS('Daily Plan'!$H:$H,'Daily Plan'!$C:$C,$A2,'Daily Plan'!$A:$A,AY$1)</f>
        <v/>
      </c>
      <c r="AZ2" s="48">
        <f>SUMIFS('Daily Plan'!$H:$H,'Daily Plan'!$C:$C,$A2,'Daily Plan'!$A:$A,AZ$1)</f>
        <v/>
      </c>
      <c r="BA2" s="47">
        <f>SUMIFS('Daily Plan'!$H:$H,'Daily Plan'!$C:$C,$A2,'Daily Plan'!$A:$A,BA$1)</f>
        <v/>
      </c>
      <c r="BB2" s="47">
        <f>SUMIFS('Daily Plan'!$H:$H,'Daily Plan'!$C:$C,$A2,'Daily Plan'!$A:$A,BB$1)</f>
        <v/>
      </c>
      <c r="BC2" s="47">
        <f>SUMIFS('Daily Plan'!$H:$H,'Daily Plan'!$C:$C,$A2,'Daily Plan'!$A:$A,BC$1)</f>
        <v/>
      </c>
      <c r="BD2" s="47">
        <f>SUMIFS('Daily Plan'!$H:$H,'Daily Plan'!$C:$C,$A2,'Daily Plan'!$A:$A,BD$1)</f>
        <v/>
      </c>
      <c r="BE2" s="47">
        <f>SUMIFS('Daily Plan'!$H:$H,'Daily Plan'!$C:$C,$A2,'Daily Plan'!$A:$A,BE$1)</f>
        <v/>
      </c>
      <c r="BF2" s="48">
        <f>SUMIFS('Daily Plan'!$H:$H,'Daily Plan'!$C:$C,$A2,'Daily Plan'!$A:$A,BF$1)</f>
        <v/>
      </c>
      <c r="BG2" s="48">
        <f>SUMIFS('Daily Plan'!$H:$H,'Daily Plan'!$C:$C,$A2,'Daily Plan'!$A:$A,BG$1)</f>
        <v/>
      </c>
      <c r="BH2" s="47">
        <f>SUMIFS('Daily Plan'!$H:$H,'Daily Plan'!$C:$C,$A2,'Daily Plan'!$A:$A,BH$1)</f>
        <v/>
      </c>
      <c r="BI2" s="47">
        <f>SUMIFS('Daily Plan'!$H:$H,'Daily Plan'!$C:$C,$A2,'Daily Plan'!$A:$A,BI$1)</f>
        <v/>
      </c>
      <c r="BJ2" s="47">
        <f>SUMIFS('Daily Plan'!$H:$H,'Daily Plan'!$C:$C,$A2,'Daily Plan'!$A:$A,BJ$1)</f>
        <v/>
      </c>
      <c r="BK2" s="47">
        <f>SUMIFS('Daily Plan'!$H:$H,'Daily Plan'!$C:$C,$A2,'Daily Plan'!$A:$A,BK$1)</f>
        <v/>
      </c>
      <c r="BL2" s="47">
        <f>SUMIFS('Daily Plan'!$H:$H,'Daily Plan'!$C:$C,$A2,'Daily Plan'!$A:$A,BL$1)</f>
        <v/>
      </c>
      <c r="BM2" s="48">
        <f>SUMIFS('Daily Plan'!$H:$H,'Daily Plan'!$C:$C,$A2,'Daily Plan'!$A:$A,BM$1)</f>
        <v/>
      </c>
      <c r="BN2" s="48">
        <f>SUMIFS('Daily Plan'!$H:$H,'Daily Plan'!$C:$C,$A2,'Daily Plan'!$A:$A,BN$1)</f>
        <v/>
      </c>
      <c r="BO2" s="47">
        <f>SUMIFS('Daily Plan'!$H:$H,'Daily Plan'!$C:$C,$A2,'Daily Plan'!$A:$A,BO$1)</f>
        <v/>
      </c>
      <c r="BP2" s="47">
        <f>SUMIFS('Daily Plan'!$H:$H,'Daily Plan'!$C:$C,$A2,'Daily Plan'!$A:$A,BP$1)</f>
        <v/>
      </c>
      <c r="BQ2" s="47">
        <f>SUMIFS('Daily Plan'!$H:$H,'Daily Plan'!$C:$C,$A2,'Daily Plan'!$A:$A,BQ$1)</f>
        <v/>
      </c>
      <c r="BR2" s="47">
        <f>SUMIFS('Daily Plan'!$H:$H,'Daily Plan'!$C:$C,$A2,'Daily Plan'!$A:$A,BR$1)</f>
        <v/>
      </c>
      <c r="BS2" s="47">
        <f>SUMIFS('Daily Plan'!$H:$H,'Daily Plan'!$C:$C,$A2,'Daily Plan'!$A:$A,BS$1)</f>
        <v/>
      </c>
      <c r="BT2" s="48">
        <f>SUMIFS('Daily Plan'!$H:$H,'Daily Plan'!$C:$C,$A2,'Daily Plan'!$A:$A,BT$1)</f>
        <v/>
      </c>
      <c r="BU2" s="48">
        <f>SUMIFS('Daily Plan'!$H:$H,'Daily Plan'!$C:$C,$A2,'Daily Plan'!$A:$A,BU$1)</f>
        <v/>
      </c>
      <c r="BV2" s="47">
        <f>SUMIFS('Daily Plan'!$H:$H,'Daily Plan'!$C:$C,$A2,'Daily Plan'!$A:$A,BV$1)</f>
        <v/>
      </c>
      <c r="BW2" s="47">
        <f>SUMIFS('Daily Plan'!$H:$H,'Daily Plan'!$C:$C,$A2,'Daily Plan'!$A:$A,BW$1)</f>
        <v/>
      </c>
      <c r="BX2" s="47">
        <f>SUMIFS('Daily Plan'!$H:$H,'Daily Plan'!$C:$C,$A2,'Daily Plan'!$A:$A,BX$1)</f>
        <v/>
      </c>
      <c r="BY2" s="47">
        <f>SUMIFS('Daily Plan'!$H:$H,'Daily Plan'!$C:$C,$A2,'Daily Plan'!$A:$A,BY$1)</f>
        <v/>
      </c>
      <c r="BZ2" s="47">
        <f>SUMIFS('Daily Plan'!$H:$H,'Daily Plan'!$C:$C,$A2,'Daily Plan'!$A:$A,BZ$1)</f>
        <v/>
      </c>
      <c r="CA2" s="48">
        <f>SUMIFS('Daily Plan'!$H:$H,'Daily Plan'!$C:$C,$A2,'Daily Plan'!$A:$A,CA$1)</f>
        <v/>
      </c>
      <c r="CB2" s="48">
        <f>SUMIFS('Daily Plan'!$H:$H,'Daily Plan'!$C:$C,$A2,'Daily Plan'!$A:$A,CB$1)</f>
        <v/>
      </c>
      <c r="CC2" s="47">
        <f>SUMIFS('Daily Plan'!$H:$H,'Daily Plan'!$C:$C,$A2,'Daily Plan'!$A:$A,CC$1)</f>
        <v/>
      </c>
      <c r="CD2" s="47">
        <f>SUMIFS('Daily Plan'!$H:$H,'Daily Plan'!$C:$C,$A2,'Daily Plan'!$A:$A,CD$1)</f>
        <v/>
      </c>
      <c r="CE2" s="47">
        <f>SUMIFS('Daily Plan'!$H:$H,'Daily Plan'!$C:$C,$A2,'Daily Plan'!$A:$A,CE$1)</f>
        <v/>
      </c>
      <c r="CF2" s="47">
        <f>SUMIFS('Daily Plan'!$H:$H,'Daily Plan'!$C:$C,$A2,'Daily Plan'!$A:$A,CF$1)</f>
        <v/>
      </c>
      <c r="CG2" s="47">
        <f>SUMIFS('Daily Plan'!$H:$H,'Daily Plan'!$C:$C,$A2,'Daily Plan'!$A:$A,CG$1)</f>
        <v/>
      </c>
      <c r="CH2" s="48">
        <f>SUMIFS('Daily Plan'!$H:$H,'Daily Plan'!$C:$C,$A2,'Daily Plan'!$A:$A,CH$1)</f>
        <v/>
      </c>
      <c r="CI2" s="48">
        <f>SUMIFS('Daily Plan'!$H:$H,'Daily Plan'!$C:$C,$A2,'Daily Plan'!$A:$A,CI$1)</f>
        <v/>
      </c>
      <c r="CJ2" s="47">
        <f>SUMIFS('Daily Plan'!$H:$H,'Daily Plan'!$C:$C,$A2,'Daily Plan'!$A:$A,CJ$1)</f>
        <v/>
      </c>
      <c r="CK2" s="47">
        <f>SUMIFS('Daily Plan'!$H:$H,'Daily Plan'!$C:$C,$A2,'Daily Plan'!$A:$A,CK$1)</f>
        <v/>
      </c>
      <c r="CL2" s="47">
        <f>SUMIFS('Daily Plan'!$H:$H,'Daily Plan'!$C:$C,$A2,'Daily Plan'!$A:$A,CL$1)</f>
        <v/>
      </c>
      <c r="CM2" s="47">
        <f>SUMIFS('Daily Plan'!$H:$H,'Daily Plan'!$C:$C,$A2,'Daily Plan'!$A:$A,CM$1)</f>
        <v/>
      </c>
      <c r="CN2" s="47">
        <f>SUMIFS('Daily Plan'!$H:$H,'Daily Plan'!$C:$C,$A2,'Daily Plan'!$A:$A,CN$1)</f>
        <v/>
      </c>
      <c r="CO2" s="48">
        <f>SUMIFS('Daily Plan'!$H:$H,'Daily Plan'!$C:$C,$A2,'Daily Plan'!$A:$A,CO$1)</f>
        <v/>
      </c>
      <c r="CP2" s="48">
        <f>SUMIFS('Daily Plan'!$H:$H,'Daily Plan'!$C:$C,$A2,'Daily Plan'!$A:$A,CP$1)</f>
        <v/>
      </c>
      <c r="CQ2" s="47">
        <f>SUMIFS('Daily Plan'!$H:$H,'Daily Plan'!$C:$C,$A2,'Daily Plan'!$A:$A,CQ$1)</f>
        <v/>
      </c>
      <c r="CR2" s="47">
        <f>SUMIFS('Daily Plan'!$H:$H,'Daily Plan'!$C:$C,$A2,'Daily Plan'!$A:$A,CR$1)</f>
        <v/>
      </c>
      <c r="CS2" s="47">
        <f>SUMIFS('Daily Plan'!$H:$H,'Daily Plan'!$C:$C,$A2,'Daily Plan'!$A:$A,CS$1)</f>
        <v/>
      </c>
      <c r="CT2" s="47">
        <f>SUMIFS('Daily Plan'!$H:$H,'Daily Plan'!$C:$C,$A2,'Daily Plan'!$A:$A,CT$1)</f>
        <v/>
      </c>
      <c r="CU2" s="47">
        <f>SUMIFS('Daily Plan'!$H:$H,'Daily Plan'!$C:$C,$A2,'Daily Plan'!$A:$A,CU$1)</f>
        <v/>
      </c>
      <c r="CV2" s="48">
        <f>SUMIFS('Daily Plan'!$H:$H,'Daily Plan'!$C:$C,$A2,'Daily Plan'!$A:$A,CV$1)</f>
        <v/>
      </c>
      <c r="CW2" s="48">
        <f>SUMIFS('Daily Plan'!$H:$H,'Daily Plan'!$C:$C,$A2,'Daily Plan'!$A:$A,CW$1)</f>
        <v/>
      </c>
      <c r="CX2" s="47">
        <f>SUMIFS('Daily Plan'!$H:$H,'Daily Plan'!$C:$C,$A2,'Daily Plan'!$A:$A,CX$1)</f>
        <v/>
      </c>
      <c r="CY2" s="47">
        <f>SUMIFS('Daily Plan'!$H:$H,'Daily Plan'!$C:$C,$A2,'Daily Plan'!$A:$A,CY$1)</f>
        <v/>
      </c>
      <c r="CZ2" s="47">
        <f>SUMIFS('Daily Plan'!$H:$H,'Daily Plan'!$C:$C,$A2,'Daily Plan'!$A:$A,CZ$1)</f>
        <v/>
      </c>
      <c r="DA2" s="47">
        <f>SUMIFS('Daily Plan'!$H:$H,'Daily Plan'!$C:$C,$A2,'Daily Plan'!$A:$A,DA$1)</f>
        <v/>
      </c>
      <c r="DB2" s="47">
        <f>SUMIFS('Daily Plan'!$H:$H,'Daily Plan'!$C:$C,$A2,'Daily Plan'!$A:$A,DB$1)</f>
        <v/>
      </c>
      <c r="DC2" s="48">
        <f>SUMIFS('Daily Plan'!$H:$H,'Daily Plan'!$C:$C,$A2,'Daily Plan'!$A:$A,DC$1)</f>
        <v/>
      </c>
      <c r="DD2" s="48">
        <f>SUMIFS('Daily Plan'!$H:$H,'Daily Plan'!$C:$C,$A2,'Daily Plan'!$A:$A,DD$1)</f>
        <v/>
      </c>
      <c r="DE2" s="47">
        <f>SUMIFS('Daily Plan'!$H:$H,'Daily Plan'!$C:$C,$A2,'Daily Plan'!$A:$A,DE$1)</f>
        <v/>
      </c>
      <c r="DF2" s="47">
        <f>SUMIFS('Daily Plan'!$H:$H,'Daily Plan'!$C:$C,$A2,'Daily Plan'!$A:$A,DF$1)</f>
        <v/>
      </c>
      <c r="DG2" s="47">
        <f>SUMIFS('Daily Plan'!$H:$H,'Daily Plan'!$C:$C,$A2,'Daily Plan'!$A:$A,DG$1)</f>
        <v/>
      </c>
      <c r="DH2" s="47">
        <f>SUMIFS('Daily Plan'!$H:$H,'Daily Plan'!$C:$C,$A2,'Daily Plan'!$A:$A,DH$1)</f>
        <v/>
      </c>
      <c r="DI2" s="47">
        <f>SUMIFS('Daily Plan'!$H:$H,'Daily Plan'!$C:$C,$A2,'Daily Plan'!$A:$A,DI$1)</f>
        <v/>
      </c>
      <c r="DJ2" s="48">
        <f>SUMIFS('Daily Plan'!$H:$H,'Daily Plan'!$C:$C,$A2,'Daily Plan'!$A:$A,DJ$1)</f>
        <v/>
      </c>
      <c r="DK2" s="48">
        <f>SUMIFS('Daily Plan'!$H:$H,'Daily Plan'!$C:$C,$A2,'Daily Plan'!$A:$A,DK$1)</f>
        <v/>
      </c>
      <c r="DL2" s="47">
        <f>SUMIFS('Daily Plan'!$H:$H,'Daily Plan'!$C:$C,$A2,'Daily Plan'!$A:$A,DL$1)</f>
        <v/>
      </c>
      <c r="DM2" s="47">
        <f>SUMIFS('Daily Plan'!$H:$H,'Daily Plan'!$C:$C,$A2,'Daily Plan'!$A:$A,DM$1)</f>
        <v/>
      </c>
      <c r="DN2" s="47">
        <f>SUMIFS('Daily Plan'!$H:$H,'Daily Plan'!$C:$C,$A2,'Daily Plan'!$A:$A,DN$1)</f>
        <v/>
      </c>
      <c r="DO2" s="47">
        <f>SUMIFS('Daily Plan'!$H:$H,'Daily Plan'!$C:$C,$A2,'Daily Plan'!$A:$A,DO$1)</f>
        <v/>
      </c>
      <c r="DP2" s="47">
        <f>SUMIFS('Daily Plan'!$H:$H,'Daily Plan'!$C:$C,$A2,'Daily Plan'!$A:$A,DP$1)</f>
        <v/>
      </c>
      <c r="DQ2" s="48">
        <f>SUMIFS('Daily Plan'!$H:$H,'Daily Plan'!$C:$C,$A2,'Daily Plan'!$A:$A,DQ$1)</f>
        <v/>
      </c>
      <c r="DR2" s="48">
        <f>SUMIFS('Daily Plan'!$H:$H,'Daily Plan'!$C:$C,$A2,'Daily Plan'!$A:$A,DR$1)</f>
        <v/>
      </c>
      <c r="DS2" s="47">
        <f>SUMIFS('Daily Plan'!$H:$H,'Daily Plan'!$C:$C,$A2,'Daily Plan'!$A:$A,DS$1)</f>
        <v/>
      </c>
      <c r="DT2" s="47">
        <f>SUMIFS('Daily Plan'!$H:$H,'Daily Plan'!$C:$C,$A2,'Daily Plan'!$A:$A,DT$1)</f>
        <v/>
      </c>
      <c r="DU2" s="47">
        <f>SUMIFS('Daily Plan'!$H:$H,'Daily Plan'!$C:$C,$A2,'Daily Plan'!$A:$A,DU$1)</f>
        <v/>
      </c>
      <c r="DV2" s="47">
        <f>SUMIFS('Daily Plan'!$H:$H,'Daily Plan'!$C:$C,$A2,'Daily Plan'!$A:$A,DV$1)</f>
        <v/>
      </c>
      <c r="DW2" s="47">
        <f>SUMIFS('Daily Plan'!$H:$H,'Daily Plan'!$C:$C,$A2,'Daily Plan'!$A:$A,DW$1)</f>
        <v/>
      </c>
      <c r="DX2" s="48">
        <f>SUMIFS('Daily Plan'!$H:$H,'Daily Plan'!$C:$C,$A2,'Daily Plan'!$A:$A,DX$1)</f>
        <v/>
      </c>
      <c r="DY2" s="48">
        <f>SUMIFS('Daily Plan'!$H:$H,'Daily Plan'!$C:$C,$A2,'Daily Plan'!$A:$A,DY$1)</f>
        <v/>
      </c>
      <c r="DZ2" s="47">
        <f>SUMIFS('Daily Plan'!$H:$H,'Daily Plan'!$C:$C,$A2,'Daily Plan'!$A:$A,DZ$1)</f>
        <v/>
      </c>
      <c r="EA2" s="47">
        <f>SUMIFS('Daily Plan'!$H:$H,'Daily Plan'!$C:$C,$A2,'Daily Plan'!$A:$A,EA$1)</f>
        <v/>
      </c>
      <c r="EB2" s="47">
        <f>SUMIFS('Daily Plan'!$H:$H,'Daily Plan'!$C:$C,$A2,'Daily Plan'!$A:$A,EB$1)</f>
        <v/>
      </c>
      <c r="EC2" s="47">
        <f>SUMIFS('Daily Plan'!$H:$H,'Daily Plan'!$C:$C,$A2,'Daily Plan'!$A:$A,EC$1)</f>
        <v/>
      </c>
      <c r="ED2" s="47">
        <f>SUMIFS('Daily Plan'!$H:$H,'Daily Plan'!$C:$C,$A2,'Daily Plan'!$A:$A,ED$1)</f>
        <v/>
      </c>
      <c r="EE2" s="48">
        <f>SUMIFS('Daily Plan'!$H:$H,'Daily Plan'!$C:$C,$A2,'Daily Plan'!$A:$A,EE$1)</f>
        <v/>
      </c>
      <c r="EF2" s="48">
        <f>SUMIFS('Daily Plan'!$H:$H,'Daily Plan'!$C:$C,$A2,'Daily Plan'!$A:$A,EF$1)</f>
        <v/>
      </c>
      <c r="EG2" s="47">
        <f>SUMIFS('Daily Plan'!$H:$H,'Daily Plan'!$C:$C,$A2,'Daily Plan'!$A:$A,EG$1)</f>
        <v/>
      </c>
      <c r="EH2" s="47">
        <f>SUMIFS('Daily Plan'!$H:$H,'Daily Plan'!$C:$C,$A2,'Daily Plan'!$A:$A,EH$1)</f>
        <v/>
      </c>
      <c r="EI2" s="47">
        <f>SUMIFS('Daily Plan'!$H:$H,'Daily Plan'!$C:$C,$A2,'Daily Plan'!$A:$A,EI$1)</f>
        <v/>
      </c>
      <c r="EJ2" s="47">
        <f>SUMIFS('Daily Plan'!$H:$H,'Daily Plan'!$C:$C,$A2,'Daily Plan'!$A:$A,EJ$1)</f>
        <v/>
      </c>
      <c r="EK2" s="47">
        <f>SUMIFS('Daily Plan'!$H:$H,'Daily Plan'!$C:$C,$A2,'Daily Plan'!$A:$A,EK$1)</f>
        <v/>
      </c>
      <c r="EL2" s="48">
        <f>SUMIFS('Daily Plan'!$H:$H,'Daily Plan'!$C:$C,$A2,'Daily Plan'!$A:$A,EL$1)</f>
        <v/>
      </c>
      <c r="EM2" s="48">
        <f>SUMIFS('Daily Plan'!$H:$H,'Daily Plan'!$C:$C,$A2,'Daily Plan'!$A:$A,EM$1)</f>
        <v/>
      </c>
      <c r="EN2" s="47">
        <f>SUMIFS('Daily Plan'!$H:$H,'Daily Plan'!$C:$C,$A2,'Daily Plan'!$A:$A,EN$1)</f>
        <v/>
      </c>
      <c r="EO2" s="47">
        <f>SUMIFS('Daily Plan'!$H:$H,'Daily Plan'!$C:$C,$A2,'Daily Plan'!$A:$A,EO$1)</f>
        <v/>
      </c>
      <c r="EP2" s="47">
        <f>SUMIFS('Daily Plan'!$H:$H,'Daily Plan'!$C:$C,$A2,'Daily Plan'!$A:$A,EP$1)</f>
        <v/>
      </c>
      <c r="EQ2" s="47">
        <f>SUMIFS('Daily Plan'!$H:$H,'Daily Plan'!$C:$C,$A2,'Daily Plan'!$A:$A,EQ$1)</f>
        <v/>
      </c>
      <c r="ER2" s="47">
        <f>SUMIFS('Daily Plan'!$H:$H,'Daily Plan'!$C:$C,$A2,'Daily Plan'!$A:$A,ER$1)</f>
        <v/>
      </c>
      <c r="ES2" s="48">
        <f>SUMIFS('Daily Plan'!$H:$H,'Daily Plan'!$C:$C,$A2,'Daily Plan'!$A:$A,ES$1)</f>
        <v/>
      </c>
      <c r="ET2" s="48">
        <f>SUMIFS('Daily Plan'!$H:$H,'Daily Plan'!$C:$C,$A2,'Daily Plan'!$A:$A,ET$1)</f>
        <v/>
      </c>
      <c r="EU2" s="47">
        <f>SUMIFS('Daily Plan'!$H:$H,'Daily Plan'!$C:$C,$A2,'Daily Plan'!$A:$A,EU$1)</f>
        <v/>
      </c>
      <c r="EV2" s="47">
        <f>SUMIFS('Daily Plan'!$H:$H,'Daily Plan'!$C:$C,$A2,'Daily Plan'!$A:$A,EV$1)</f>
        <v/>
      </c>
      <c r="EW2" s="47">
        <f>SUMIFS('Daily Plan'!$H:$H,'Daily Plan'!$C:$C,$A2,'Daily Plan'!$A:$A,EW$1)</f>
        <v/>
      </c>
      <c r="EX2" s="47">
        <f>SUMIFS('Daily Plan'!$H:$H,'Daily Plan'!$C:$C,$A2,'Daily Plan'!$A:$A,EX$1)</f>
        <v/>
      </c>
      <c r="EY2" s="47">
        <f>SUMIFS('Daily Plan'!$H:$H,'Daily Plan'!$C:$C,$A2,'Daily Plan'!$A:$A,EY$1)</f>
        <v/>
      </c>
      <c r="EZ2" s="48">
        <f>SUMIFS('Daily Plan'!$H:$H,'Daily Plan'!$C:$C,$A2,'Daily Plan'!$A:$A,EZ$1)</f>
        <v/>
      </c>
      <c r="FA2" s="48">
        <f>SUMIFS('Daily Plan'!$H:$H,'Daily Plan'!$C:$C,$A2,'Daily Plan'!$A:$A,FA$1)</f>
        <v/>
      </c>
      <c r="FB2" s="47">
        <f>SUMIFS('Daily Plan'!$H:$H,'Daily Plan'!$C:$C,$A2,'Daily Plan'!$A:$A,FB$1)</f>
        <v/>
      </c>
      <c r="FC2" s="47">
        <f>SUMIFS('Daily Plan'!$H:$H,'Daily Plan'!$C:$C,$A2,'Daily Plan'!$A:$A,FC$1)</f>
        <v/>
      </c>
      <c r="FD2" s="47">
        <f>SUMIFS('Daily Plan'!$H:$H,'Daily Plan'!$C:$C,$A2,'Daily Plan'!$A:$A,FD$1)</f>
        <v/>
      </c>
      <c r="FE2" s="47">
        <f>SUMIFS('Daily Plan'!$H:$H,'Daily Plan'!$C:$C,$A2,'Daily Plan'!$A:$A,FE$1)</f>
        <v/>
      </c>
      <c r="FF2" s="47">
        <f>SUMIFS('Daily Plan'!$H:$H,'Daily Plan'!$C:$C,$A2,'Daily Plan'!$A:$A,FF$1)</f>
        <v/>
      </c>
      <c r="FG2" s="48">
        <f>SUMIFS('Daily Plan'!$H:$H,'Daily Plan'!$C:$C,$A2,'Daily Plan'!$A:$A,FG$1)</f>
        <v/>
      </c>
      <c r="FH2" s="48">
        <f>SUMIFS('Daily Plan'!$H:$H,'Daily Plan'!$C:$C,$A2,'Daily Plan'!$A:$A,FH$1)</f>
        <v/>
      </c>
      <c r="FI2" s="47">
        <f>SUMIFS('Daily Plan'!$H:$H,'Daily Plan'!$C:$C,$A2,'Daily Plan'!$A:$A,FI$1)</f>
        <v/>
      </c>
      <c r="FJ2" s="47">
        <f>SUMIFS('Daily Plan'!$H:$H,'Daily Plan'!$C:$C,$A2,'Daily Plan'!$A:$A,FJ$1)</f>
        <v/>
      </c>
      <c r="FK2" s="47">
        <f>SUMIFS('Daily Plan'!$H:$H,'Daily Plan'!$C:$C,$A2,'Daily Plan'!$A:$A,FK$1)</f>
        <v/>
      </c>
      <c r="FL2" s="47">
        <f>SUMIFS('Daily Plan'!$H:$H,'Daily Plan'!$C:$C,$A2,'Daily Plan'!$A:$A,FL$1)</f>
        <v/>
      </c>
      <c r="FM2" s="47">
        <f>SUMIFS('Daily Plan'!$H:$H,'Daily Plan'!$C:$C,$A2,'Daily Plan'!$A:$A,FM$1)</f>
        <v/>
      </c>
      <c r="FN2" s="48">
        <f>SUMIFS('Daily Plan'!$H:$H,'Daily Plan'!$C:$C,$A2,'Daily Plan'!$A:$A,FN$1)</f>
        <v/>
      </c>
      <c r="FO2" s="48">
        <f>SUMIFS('Daily Plan'!$H:$H,'Daily Plan'!$C:$C,$A2,'Daily Plan'!$A:$A,FO$1)</f>
        <v/>
      </c>
      <c r="FP2" s="47">
        <f>SUMIFS('Daily Plan'!$H:$H,'Daily Plan'!$C:$C,$A2,'Daily Plan'!$A:$A,FP$1)</f>
        <v/>
      </c>
      <c r="FQ2" s="47">
        <f>SUMIFS('Daily Plan'!$H:$H,'Daily Plan'!$C:$C,$A2,'Daily Plan'!$A:$A,FQ$1)</f>
        <v/>
      </c>
      <c r="FR2" s="47">
        <f>SUMIFS('Daily Plan'!$H:$H,'Daily Plan'!$C:$C,$A2,'Daily Plan'!$A:$A,FR$1)</f>
        <v/>
      </c>
      <c r="FS2" s="47">
        <f>SUMIFS('Daily Plan'!$H:$H,'Daily Plan'!$C:$C,$A2,'Daily Plan'!$A:$A,FS$1)</f>
        <v/>
      </c>
    </row>
    <row r="3" ht="28.8" customHeight="1" s="38">
      <c r="A3" s="23" t="inlineStr">
        <is>
          <t>MLE-1</t>
        </is>
      </c>
      <c r="B3" s="23" t="inlineStr">
        <is>
          <t>工程</t>
        </is>
      </c>
      <c r="C3" s="2" t="inlineStr">
        <is>
          <t>M1 订单生成逻辑</t>
        </is>
      </c>
      <c r="D3" s="43" t="n">
        <v>46153</v>
      </c>
      <c r="E3" s="43" t="n">
        <v>46171</v>
      </c>
      <c r="F3" s="23" t="inlineStr">
        <is>
          <t>pending</t>
        </is>
      </c>
      <c r="G3" s="44">
        <f>SUMIF('Daily Plan'!$C:$C,A3,'Daily Plan'!$H:$H)</f>
        <v/>
      </c>
      <c r="H3" s="44">
        <f>SUMIF('Daily Plan'!$C:$C,A3,'Daily Plan'!$I:$I)</f>
        <v/>
      </c>
      <c r="I3" s="44">
        <f>MAX(G3-H3,0)</f>
        <v/>
      </c>
      <c r="J3" s="25">
        <f>IF(G3=0,IF(F3="done",1,0),H3/G3)</f>
        <v/>
      </c>
      <c r="K3" s="2" t="inlineStr">
        <is>
          <t>P0</t>
        </is>
      </c>
      <c r="L3" s="2" t="inlineStr">
        <is>
          <t>OrderLog/SupplyDemandLog 回归一致，性能提升</t>
        </is>
      </c>
      <c r="M3" s="47">
        <f>SUMIFS('Daily Plan'!$H:$H,'Daily Plan'!$C:$C,$A3,'Daily Plan'!$A:$A,M$1)</f>
        <v/>
      </c>
      <c r="N3" s="47">
        <f>SUMIFS('Daily Plan'!$H:$H,'Daily Plan'!$C:$C,$A3,'Daily Plan'!$A:$A,N$1)</f>
        <v/>
      </c>
      <c r="O3" s="47">
        <f>SUMIFS('Daily Plan'!$H:$H,'Daily Plan'!$C:$C,$A3,'Daily Plan'!$A:$A,O$1)</f>
        <v/>
      </c>
      <c r="P3" s="48">
        <f>SUMIFS('Daily Plan'!$H:$H,'Daily Plan'!$C:$C,$A3,'Daily Plan'!$A:$A,P$1)</f>
        <v/>
      </c>
      <c r="Q3" s="48">
        <f>SUMIFS('Daily Plan'!$H:$H,'Daily Plan'!$C:$C,$A3,'Daily Plan'!$A:$A,Q$1)</f>
        <v/>
      </c>
      <c r="R3" s="47">
        <f>SUMIFS('Daily Plan'!$H:$H,'Daily Plan'!$C:$C,$A3,'Daily Plan'!$A:$A,R$1)</f>
        <v/>
      </c>
      <c r="S3" s="47">
        <f>SUMIFS('Daily Plan'!$H:$H,'Daily Plan'!$C:$C,$A3,'Daily Plan'!$A:$A,S$1)</f>
        <v/>
      </c>
      <c r="T3" s="47">
        <f>SUMIFS('Daily Plan'!$H:$H,'Daily Plan'!$C:$C,$A3,'Daily Plan'!$A:$A,T$1)</f>
        <v/>
      </c>
      <c r="U3" s="47">
        <f>SUMIFS('Daily Plan'!$H:$H,'Daily Plan'!$C:$C,$A3,'Daily Plan'!$A:$A,U$1)</f>
        <v/>
      </c>
      <c r="V3" s="47">
        <f>SUMIFS('Daily Plan'!$H:$H,'Daily Plan'!$C:$C,$A3,'Daily Plan'!$A:$A,V$1)</f>
        <v/>
      </c>
      <c r="W3" s="48">
        <f>SUMIFS('Daily Plan'!$H:$H,'Daily Plan'!$C:$C,$A3,'Daily Plan'!$A:$A,W$1)</f>
        <v/>
      </c>
      <c r="X3" s="48">
        <f>SUMIFS('Daily Plan'!$H:$H,'Daily Plan'!$C:$C,$A3,'Daily Plan'!$A:$A,X$1)</f>
        <v/>
      </c>
      <c r="Y3" s="47">
        <f>SUMIFS('Daily Plan'!$H:$H,'Daily Plan'!$C:$C,$A3,'Daily Plan'!$A:$A,Y$1)</f>
        <v/>
      </c>
      <c r="Z3" s="47">
        <f>SUMIFS('Daily Plan'!$H:$H,'Daily Plan'!$C:$C,$A3,'Daily Plan'!$A:$A,Z$1)</f>
        <v/>
      </c>
      <c r="AA3" s="47">
        <f>SUMIFS('Daily Plan'!$H:$H,'Daily Plan'!$C:$C,$A3,'Daily Plan'!$A:$A,AA$1)</f>
        <v/>
      </c>
      <c r="AB3" s="47">
        <f>SUMIFS('Daily Plan'!$H:$H,'Daily Plan'!$C:$C,$A3,'Daily Plan'!$A:$A,AB$1)</f>
        <v/>
      </c>
      <c r="AC3" s="47">
        <f>SUMIFS('Daily Plan'!$H:$H,'Daily Plan'!$C:$C,$A3,'Daily Plan'!$A:$A,AC$1)</f>
        <v/>
      </c>
      <c r="AD3" s="48">
        <f>SUMIFS('Daily Plan'!$H:$H,'Daily Plan'!$C:$C,$A3,'Daily Plan'!$A:$A,AD$1)</f>
        <v/>
      </c>
      <c r="AE3" s="48">
        <f>SUMIFS('Daily Plan'!$H:$H,'Daily Plan'!$C:$C,$A3,'Daily Plan'!$A:$A,AE$1)</f>
        <v/>
      </c>
      <c r="AF3" s="47">
        <f>SUMIFS('Daily Plan'!$H:$H,'Daily Plan'!$C:$C,$A3,'Daily Plan'!$A:$A,AF$1)</f>
        <v/>
      </c>
      <c r="AG3" s="47">
        <f>SUMIFS('Daily Plan'!$H:$H,'Daily Plan'!$C:$C,$A3,'Daily Plan'!$A:$A,AG$1)</f>
        <v/>
      </c>
      <c r="AH3" s="47">
        <f>SUMIFS('Daily Plan'!$H:$H,'Daily Plan'!$C:$C,$A3,'Daily Plan'!$A:$A,AH$1)</f>
        <v/>
      </c>
      <c r="AI3" s="47">
        <f>SUMIFS('Daily Plan'!$H:$H,'Daily Plan'!$C:$C,$A3,'Daily Plan'!$A:$A,AI$1)</f>
        <v/>
      </c>
      <c r="AJ3" s="47">
        <f>SUMIFS('Daily Plan'!$H:$H,'Daily Plan'!$C:$C,$A3,'Daily Plan'!$A:$A,AJ$1)</f>
        <v/>
      </c>
      <c r="AK3" s="48">
        <f>SUMIFS('Daily Plan'!$H:$H,'Daily Plan'!$C:$C,$A3,'Daily Plan'!$A:$A,AK$1)</f>
        <v/>
      </c>
      <c r="AL3" s="48">
        <f>SUMIFS('Daily Plan'!$H:$H,'Daily Plan'!$C:$C,$A3,'Daily Plan'!$A:$A,AL$1)</f>
        <v/>
      </c>
      <c r="AM3" s="47">
        <f>SUMIFS('Daily Plan'!$H:$H,'Daily Plan'!$C:$C,$A3,'Daily Plan'!$A:$A,AM$1)</f>
        <v/>
      </c>
      <c r="AN3" s="47">
        <f>SUMIFS('Daily Plan'!$H:$H,'Daily Plan'!$C:$C,$A3,'Daily Plan'!$A:$A,AN$1)</f>
        <v/>
      </c>
      <c r="AO3" s="47">
        <f>SUMIFS('Daily Plan'!$H:$H,'Daily Plan'!$C:$C,$A3,'Daily Plan'!$A:$A,AO$1)</f>
        <v/>
      </c>
      <c r="AP3" s="47">
        <f>SUMIFS('Daily Plan'!$H:$H,'Daily Plan'!$C:$C,$A3,'Daily Plan'!$A:$A,AP$1)</f>
        <v/>
      </c>
      <c r="AQ3" s="47">
        <f>SUMIFS('Daily Plan'!$H:$H,'Daily Plan'!$C:$C,$A3,'Daily Plan'!$A:$A,AQ$1)</f>
        <v/>
      </c>
      <c r="AR3" s="48">
        <f>SUMIFS('Daily Plan'!$H:$H,'Daily Plan'!$C:$C,$A3,'Daily Plan'!$A:$A,AR$1)</f>
        <v/>
      </c>
      <c r="AS3" s="48">
        <f>SUMIFS('Daily Plan'!$H:$H,'Daily Plan'!$C:$C,$A3,'Daily Plan'!$A:$A,AS$1)</f>
        <v/>
      </c>
      <c r="AT3" s="47">
        <f>SUMIFS('Daily Plan'!$H:$H,'Daily Plan'!$C:$C,$A3,'Daily Plan'!$A:$A,AT$1)</f>
        <v/>
      </c>
      <c r="AU3" s="47">
        <f>SUMIFS('Daily Plan'!$H:$H,'Daily Plan'!$C:$C,$A3,'Daily Plan'!$A:$A,AU$1)</f>
        <v/>
      </c>
      <c r="AV3" s="47">
        <f>SUMIFS('Daily Plan'!$H:$H,'Daily Plan'!$C:$C,$A3,'Daily Plan'!$A:$A,AV$1)</f>
        <v/>
      </c>
      <c r="AW3" s="47">
        <f>SUMIFS('Daily Plan'!$H:$H,'Daily Plan'!$C:$C,$A3,'Daily Plan'!$A:$A,AW$1)</f>
        <v/>
      </c>
      <c r="AX3" s="47">
        <f>SUMIFS('Daily Plan'!$H:$H,'Daily Plan'!$C:$C,$A3,'Daily Plan'!$A:$A,AX$1)</f>
        <v/>
      </c>
      <c r="AY3" s="48">
        <f>SUMIFS('Daily Plan'!$H:$H,'Daily Plan'!$C:$C,$A3,'Daily Plan'!$A:$A,AY$1)</f>
        <v/>
      </c>
      <c r="AZ3" s="48">
        <f>SUMIFS('Daily Plan'!$H:$H,'Daily Plan'!$C:$C,$A3,'Daily Plan'!$A:$A,AZ$1)</f>
        <v/>
      </c>
      <c r="BA3" s="47">
        <f>SUMIFS('Daily Plan'!$H:$H,'Daily Plan'!$C:$C,$A3,'Daily Plan'!$A:$A,BA$1)</f>
        <v/>
      </c>
      <c r="BB3" s="47">
        <f>SUMIFS('Daily Plan'!$H:$H,'Daily Plan'!$C:$C,$A3,'Daily Plan'!$A:$A,BB$1)</f>
        <v/>
      </c>
      <c r="BC3" s="47">
        <f>SUMIFS('Daily Plan'!$H:$H,'Daily Plan'!$C:$C,$A3,'Daily Plan'!$A:$A,BC$1)</f>
        <v/>
      </c>
      <c r="BD3" s="47">
        <f>SUMIFS('Daily Plan'!$H:$H,'Daily Plan'!$C:$C,$A3,'Daily Plan'!$A:$A,BD$1)</f>
        <v/>
      </c>
      <c r="BE3" s="47">
        <f>SUMIFS('Daily Plan'!$H:$H,'Daily Plan'!$C:$C,$A3,'Daily Plan'!$A:$A,BE$1)</f>
        <v/>
      </c>
      <c r="BF3" s="48">
        <f>SUMIFS('Daily Plan'!$H:$H,'Daily Plan'!$C:$C,$A3,'Daily Plan'!$A:$A,BF$1)</f>
        <v/>
      </c>
      <c r="BG3" s="48">
        <f>SUMIFS('Daily Plan'!$H:$H,'Daily Plan'!$C:$C,$A3,'Daily Plan'!$A:$A,BG$1)</f>
        <v/>
      </c>
      <c r="BH3" s="47">
        <f>SUMIFS('Daily Plan'!$H:$H,'Daily Plan'!$C:$C,$A3,'Daily Plan'!$A:$A,BH$1)</f>
        <v/>
      </c>
      <c r="BI3" s="47">
        <f>SUMIFS('Daily Plan'!$H:$H,'Daily Plan'!$C:$C,$A3,'Daily Plan'!$A:$A,BI$1)</f>
        <v/>
      </c>
      <c r="BJ3" s="47">
        <f>SUMIFS('Daily Plan'!$H:$H,'Daily Plan'!$C:$C,$A3,'Daily Plan'!$A:$A,BJ$1)</f>
        <v/>
      </c>
      <c r="BK3" s="47">
        <f>SUMIFS('Daily Plan'!$H:$H,'Daily Plan'!$C:$C,$A3,'Daily Plan'!$A:$A,BK$1)</f>
        <v/>
      </c>
      <c r="BL3" s="47">
        <f>SUMIFS('Daily Plan'!$H:$H,'Daily Plan'!$C:$C,$A3,'Daily Plan'!$A:$A,BL$1)</f>
        <v/>
      </c>
      <c r="BM3" s="48">
        <f>SUMIFS('Daily Plan'!$H:$H,'Daily Plan'!$C:$C,$A3,'Daily Plan'!$A:$A,BM$1)</f>
        <v/>
      </c>
      <c r="BN3" s="48">
        <f>SUMIFS('Daily Plan'!$H:$H,'Daily Plan'!$C:$C,$A3,'Daily Plan'!$A:$A,BN$1)</f>
        <v/>
      </c>
      <c r="BO3" s="47">
        <f>SUMIFS('Daily Plan'!$H:$H,'Daily Plan'!$C:$C,$A3,'Daily Plan'!$A:$A,BO$1)</f>
        <v/>
      </c>
      <c r="BP3" s="47">
        <f>SUMIFS('Daily Plan'!$H:$H,'Daily Plan'!$C:$C,$A3,'Daily Plan'!$A:$A,BP$1)</f>
        <v/>
      </c>
      <c r="BQ3" s="47">
        <f>SUMIFS('Daily Plan'!$H:$H,'Daily Plan'!$C:$C,$A3,'Daily Plan'!$A:$A,BQ$1)</f>
        <v/>
      </c>
      <c r="BR3" s="47">
        <f>SUMIFS('Daily Plan'!$H:$H,'Daily Plan'!$C:$C,$A3,'Daily Plan'!$A:$A,BR$1)</f>
        <v/>
      </c>
      <c r="BS3" s="47">
        <f>SUMIFS('Daily Plan'!$H:$H,'Daily Plan'!$C:$C,$A3,'Daily Plan'!$A:$A,BS$1)</f>
        <v/>
      </c>
      <c r="BT3" s="48">
        <f>SUMIFS('Daily Plan'!$H:$H,'Daily Plan'!$C:$C,$A3,'Daily Plan'!$A:$A,BT$1)</f>
        <v/>
      </c>
      <c r="BU3" s="48">
        <f>SUMIFS('Daily Plan'!$H:$H,'Daily Plan'!$C:$C,$A3,'Daily Plan'!$A:$A,BU$1)</f>
        <v/>
      </c>
      <c r="BV3" s="47">
        <f>SUMIFS('Daily Plan'!$H:$H,'Daily Plan'!$C:$C,$A3,'Daily Plan'!$A:$A,BV$1)</f>
        <v/>
      </c>
      <c r="BW3" s="47">
        <f>SUMIFS('Daily Plan'!$H:$H,'Daily Plan'!$C:$C,$A3,'Daily Plan'!$A:$A,BW$1)</f>
        <v/>
      </c>
      <c r="BX3" s="47">
        <f>SUMIFS('Daily Plan'!$H:$H,'Daily Plan'!$C:$C,$A3,'Daily Plan'!$A:$A,BX$1)</f>
        <v/>
      </c>
      <c r="BY3" s="47">
        <f>SUMIFS('Daily Plan'!$H:$H,'Daily Plan'!$C:$C,$A3,'Daily Plan'!$A:$A,BY$1)</f>
        <v/>
      </c>
      <c r="BZ3" s="47">
        <f>SUMIFS('Daily Plan'!$H:$H,'Daily Plan'!$C:$C,$A3,'Daily Plan'!$A:$A,BZ$1)</f>
        <v/>
      </c>
      <c r="CA3" s="48">
        <f>SUMIFS('Daily Plan'!$H:$H,'Daily Plan'!$C:$C,$A3,'Daily Plan'!$A:$A,CA$1)</f>
        <v/>
      </c>
      <c r="CB3" s="48">
        <f>SUMIFS('Daily Plan'!$H:$H,'Daily Plan'!$C:$C,$A3,'Daily Plan'!$A:$A,CB$1)</f>
        <v/>
      </c>
      <c r="CC3" s="47">
        <f>SUMIFS('Daily Plan'!$H:$H,'Daily Plan'!$C:$C,$A3,'Daily Plan'!$A:$A,CC$1)</f>
        <v/>
      </c>
      <c r="CD3" s="47">
        <f>SUMIFS('Daily Plan'!$H:$H,'Daily Plan'!$C:$C,$A3,'Daily Plan'!$A:$A,CD$1)</f>
        <v/>
      </c>
      <c r="CE3" s="47">
        <f>SUMIFS('Daily Plan'!$H:$H,'Daily Plan'!$C:$C,$A3,'Daily Plan'!$A:$A,CE$1)</f>
        <v/>
      </c>
      <c r="CF3" s="47">
        <f>SUMIFS('Daily Plan'!$H:$H,'Daily Plan'!$C:$C,$A3,'Daily Plan'!$A:$A,CF$1)</f>
        <v/>
      </c>
      <c r="CG3" s="47">
        <f>SUMIFS('Daily Plan'!$H:$H,'Daily Plan'!$C:$C,$A3,'Daily Plan'!$A:$A,CG$1)</f>
        <v/>
      </c>
      <c r="CH3" s="48">
        <f>SUMIFS('Daily Plan'!$H:$H,'Daily Plan'!$C:$C,$A3,'Daily Plan'!$A:$A,CH$1)</f>
        <v/>
      </c>
      <c r="CI3" s="48">
        <f>SUMIFS('Daily Plan'!$H:$H,'Daily Plan'!$C:$C,$A3,'Daily Plan'!$A:$A,CI$1)</f>
        <v/>
      </c>
      <c r="CJ3" s="47">
        <f>SUMIFS('Daily Plan'!$H:$H,'Daily Plan'!$C:$C,$A3,'Daily Plan'!$A:$A,CJ$1)</f>
        <v/>
      </c>
      <c r="CK3" s="47">
        <f>SUMIFS('Daily Plan'!$H:$H,'Daily Plan'!$C:$C,$A3,'Daily Plan'!$A:$A,CK$1)</f>
        <v/>
      </c>
      <c r="CL3" s="47">
        <f>SUMIFS('Daily Plan'!$H:$H,'Daily Plan'!$C:$C,$A3,'Daily Plan'!$A:$A,CL$1)</f>
        <v/>
      </c>
      <c r="CM3" s="47">
        <f>SUMIFS('Daily Plan'!$H:$H,'Daily Plan'!$C:$C,$A3,'Daily Plan'!$A:$A,CM$1)</f>
        <v/>
      </c>
      <c r="CN3" s="47">
        <f>SUMIFS('Daily Plan'!$H:$H,'Daily Plan'!$C:$C,$A3,'Daily Plan'!$A:$A,CN$1)</f>
        <v/>
      </c>
      <c r="CO3" s="48">
        <f>SUMIFS('Daily Plan'!$H:$H,'Daily Plan'!$C:$C,$A3,'Daily Plan'!$A:$A,CO$1)</f>
        <v/>
      </c>
      <c r="CP3" s="48">
        <f>SUMIFS('Daily Plan'!$H:$H,'Daily Plan'!$C:$C,$A3,'Daily Plan'!$A:$A,CP$1)</f>
        <v/>
      </c>
      <c r="CQ3" s="47">
        <f>SUMIFS('Daily Plan'!$H:$H,'Daily Plan'!$C:$C,$A3,'Daily Plan'!$A:$A,CQ$1)</f>
        <v/>
      </c>
      <c r="CR3" s="47">
        <f>SUMIFS('Daily Plan'!$H:$H,'Daily Plan'!$C:$C,$A3,'Daily Plan'!$A:$A,CR$1)</f>
        <v/>
      </c>
      <c r="CS3" s="47">
        <f>SUMIFS('Daily Plan'!$H:$H,'Daily Plan'!$C:$C,$A3,'Daily Plan'!$A:$A,CS$1)</f>
        <v/>
      </c>
      <c r="CT3" s="47">
        <f>SUMIFS('Daily Plan'!$H:$H,'Daily Plan'!$C:$C,$A3,'Daily Plan'!$A:$A,CT$1)</f>
        <v/>
      </c>
      <c r="CU3" s="47">
        <f>SUMIFS('Daily Plan'!$H:$H,'Daily Plan'!$C:$C,$A3,'Daily Plan'!$A:$A,CU$1)</f>
        <v/>
      </c>
      <c r="CV3" s="48">
        <f>SUMIFS('Daily Plan'!$H:$H,'Daily Plan'!$C:$C,$A3,'Daily Plan'!$A:$A,CV$1)</f>
        <v/>
      </c>
      <c r="CW3" s="48">
        <f>SUMIFS('Daily Plan'!$H:$H,'Daily Plan'!$C:$C,$A3,'Daily Plan'!$A:$A,CW$1)</f>
        <v/>
      </c>
      <c r="CX3" s="47">
        <f>SUMIFS('Daily Plan'!$H:$H,'Daily Plan'!$C:$C,$A3,'Daily Plan'!$A:$A,CX$1)</f>
        <v/>
      </c>
      <c r="CY3" s="47">
        <f>SUMIFS('Daily Plan'!$H:$H,'Daily Plan'!$C:$C,$A3,'Daily Plan'!$A:$A,CY$1)</f>
        <v/>
      </c>
      <c r="CZ3" s="47">
        <f>SUMIFS('Daily Plan'!$H:$H,'Daily Plan'!$C:$C,$A3,'Daily Plan'!$A:$A,CZ$1)</f>
        <v/>
      </c>
      <c r="DA3" s="47">
        <f>SUMIFS('Daily Plan'!$H:$H,'Daily Plan'!$C:$C,$A3,'Daily Plan'!$A:$A,DA$1)</f>
        <v/>
      </c>
      <c r="DB3" s="47">
        <f>SUMIFS('Daily Plan'!$H:$H,'Daily Plan'!$C:$C,$A3,'Daily Plan'!$A:$A,DB$1)</f>
        <v/>
      </c>
      <c r="DC3" s="48">
        <f>SUMIFS('Daily Plan'!$H:$H,'Daily Plan'!$C:$C,$A3,'Daily Plan'!$A:$A,DC$1)</f>
        <v/>
      </c>
      <c r="DD3" s="48">
        <f>SUMIFS('Daily Plan'!$H:$H,'Daily Plan'!$C:$C,$A3,'Daily Plan'!$A:$A,DD$1)</f>
        <v/>
      </c>
      <c r="DE3" s="47">
        <f>SUMIFS('Daily Plan'!$H:$H,'Daily Plan'!$C:$C,$A3,'Daily Plan'!$A:$A,DE$1)</f>
        <v/>
      </c>
      <c r="DF3" s="47">
        <f>SUMIFS('Daily Plan'!$H:$H,'Daily Plan'!$C:$C,$A3,'Daily Plan'!$A:$A,DF$1)</f>
        <v/>
      </c>
      <c r="DG3" s="47">
        <f>SUMIFS('Daily Plan'!$H:$H,'Daily Plan'!$C:$C,$A3,'Daily Plan'!$A:$A,DG$1)</f>
        <v/>
      </c>
      <c r="DH3" s="47">
        <f>SUMIFS('Daily Plan'!$H:$H,'Daily Plan'!$C:$C,$A3,'Daily Plan'!$A:$A,DH$1)</f>
        <v/>
      </c>
      <c r="DI3" s="47">
        <f>SUMIFS('Daily Plan'!$H:$H,'Daily Plan'!$C:$C,$A3,'Daily Plan'!$A:$A,DI$1)</f>
        <v/>
      </c>
      <c r="DJ3" s="48">
        <f>SUMIFS('Daily Plan'!$H:$H,'Daily Plan'!$C:$C,$A3,'Daily Plan'!$A:$A,DJ$1)</f>
        <v/>
      </c>
      <c r="DK3" s="48">
        <f>SUMIFS('Daily Plan'!$H:$H,'Daily Plan'!$C:$C,$A3,'Daily Plan'!$A:$A,DK$1)</f>
        <v/>
      </c>
      <c r="DL3" s="47">
        <f>SUMIFS('Daily Plan'!$H:$H,'Daily Plan'!$C:$C,$A3,'Daily Plan'!$A:$A,DL$1)</f>
        <v/>
      </c>
      <c r="DM3" s="47">
        <f>SUMIFS('Daily Plan'!$H:$H,'Daily Plan'!$C:$C,$A3,'Daily Plan'!$A:$A,DM$1)</f>
        <v/>
      </c>
      <c r="DN3" s="47">
        <f>SUMIFS('Daily Plan'!$H:$H,'Daily Plan'!$C:$C,$A3,'Daily Plan'!$A:$A,DN$1)</f>
        <v/>
      </c>
      <c r="DO3" s="47">
        <f>SUMIFS('Daily Plan'!$H:$H,'Daily Plan'!$C:$C,$A3,'Daily Plan'!$A:$A,DO$1)</f>
        <v/>
      </c>
      <c r="DP3" s="47">
        <f>SUMIFS('Daily Plan'!$H:$H,'Daily Plan'!$C:$C,$A3,'Daily Plan'!$A:$A,DP$1)</f>
        <v/>
      </c>
      <c r="DQ3" s="48">
        <f>SUMIFS('Daily Plan'!$H:$H,'Daily Plan'!$C:$C,$A3,'Daily Plan'!$A:$A,DQ$1)</f>
        <v/>
      </c>
      <c r="DR3" s="48">
        <f>SUMIFS('Daily Plan'!$H:$H,'Daily Plan'!$C:$C,$A3,'Daily Plan'!$A:$A,DR$1)</f>
        <v/>
      </c>
      <c r="DS3" s="47">
        <f>SUMIFS('Daily Plan'!$H:$H,'Daily Plan'!$C:$C,$A3,'Daily Plan'!$A:$A,DS$1)</f>
        <v/>
      </c>
      <c r="DT3" s="47">
        <f>SUMIFS('Daily Plan'!$H:$H,'Daily Plan'!$C:$C,$A3,'Daily Plan'!$A:$A,DT$1)</f>
        <v/>
      </c>
      <c r="DU3" s="47">
        <f>SUMIFS('Daily Plan'!$H:$H,'Daily Plan'!$C:$C,$A3,'Daily Plan'!$A:$A,DU$1)</f>
        <v/>
      </c>
      <c r="DV3" s="47">
        <f>SUMIFS('Daily Plan'!$H:$H,'Daily Plan'!$C:$C,$A3,'Daily Plan'!$A:$A,DV$1)</f>
        <v/>
      </c>
      <c r="DW3" s="47">
        <f>SUMIFS('Daily Plan'!$H:$H,'Daily Plan'!$C:$C,$A3,'Daily Plan'!$A:$A,DW$1)</f>
        <v/>
      </c>
      <c r="DX3" s="48">
        <f>SUMIFS('Daily Plan'!$H:$H,'Daily Plan'!$C:$C,$A3,'Daily Plan'!$A:$A,DX$1)</f>
        <v/>
      </c>
      <c r="DY3" s="48">
        <f>SUMIFS('Daily Plan'!$H:$H,'Daily Plan'!$C:$C,$A3,'Daily Plan'!$A:$A,DY$1)</f>
        <v/>
      </c>
      <c r="DZ3" s="47">
        <f>SUMIFS('Daily Plan'!$H:$H,'Daily Plan'!$C:$C,$A3,'Daily Plan'!$A:$A,DZ$1)</f>
        <v/>
      </c>
      <c r="EA3" s="47">
        <f>SUMIFS('Daily Plan'!$H:$H,'Daily Plan'!$C:$C,$A3,'Daily Plan'!$A:$A,EA$1)</f>
        <v/>
      </c>
      <c r="EB3" s="47">
        <f>SUMIFS('Daily Plan'!$H:$H,'Daily Plan'!$C:$C,$A3,'Daily Plan'!$A:$A,EB$1)</f>
        <v/>
      </c>
      <c r="EC3" s="47">
        <f>SUMIFS('Daily Plan'!$H:$H,'Daily Plan'!$C:$C,$A3,'Daily Plan'!$A:$A,EC$1)</f>
        <v/>
      </c>
      <c r="ED3" s="47">
        <f>SUMIFS('Daily Plan'!$H:$H,'Daily Plan'!$C:$C,$A3,'Daily Plan'!$A:$A,ED$1)</f>
        <v/>
      </c>
      <c r="EE3" s="48">
        <f>SUMIFS('Daily Plan'!$H:$H,'Daily Plan'!$C:$C,$A3,'Daily Plan'!$A:$A,EE$1)</f>
        <v/>
      </c>
      <c r="EF3" s="48">
        <f>SUMIFS('Daily Plan'!$H:$H,'Daily Plan'!$C:$C,$A3,'Daily Plan'!$A:$A,EF$1)</f>
        <v/>
      </c>
      <c r="EG3" s="47">
        <f>SUMIFS('Daily Plan'!$H:$H,'Daily Plan'!$C:$C,$A3,'Daily Plan'!$A:$A,EG$1)</f>
        <v/>
      </c>
      <c r="EH3" s="47">
        <f>SUMIFS('Daily Plan'!$H:$H,'Daily Plan'!$C:$C,$A3,'Daily Plan'!$A:$A,EH$1)</f>
        <v/>
      </c>
      <c r="EI3" s="47">
        <f>SUMIFS('Daily Plan'!$H:$H,'Daily Plan'!$C:$C,$A3,'Daily Plan'!$A:$A,EI$1)</f>
        <v/>
      </c>
      <c r="EJ3" s="47">
        <f>SUMIFS('Daily Plan'!$H:$H,'Daily Plan'!$C:$C,$A3,'Daily Plan'!$A:$A,EJ$1)</f>
        <v/>
      </c>
      <c r="EK3" s="47">
        <f>SUMIFS('Daily Plan'!$H:$H,'Daily Plan'!$C:$C,$A3,'Daily Plan'!$A:$A,EK$1)</f>
        <v/>
      </c>
      <c r="EL3" s="48">
        <f>SUMIFS('Daily Plan'!$H:$H,'Daily Plan'!$C:$C,$A3,'Daily Plan'!$A:$A,EL$1)</f>
        <v/>
      </c>
      <c r="EM3" s="48">
        <f>SUMIFS('Daily Plan'!$H:$H,'Daily Plan'!$C:$C,$A3,'Daily Plan'!$A:$A,EM$1)</f>
        <v/>
      </c>
      <c r="EN3" s="47">
        <f>SUMIFS('Daily Plan'!$H:$H,'Daily Plan'!$C:$C,$A3,'Daily Plan'!$A:$A,EN$1)</f>
        <v/>
      </c>
      <c r="EO3" s="47">
        <f>SUMIFS('Daily Plan'!$H:$H,'Daily Plan'!$C:$C,$A3,'Daily Plan'!$A:$A,EO$1)</f>
        <v/>
      </c>
      <c r="EP3" s="47">
        <f>SUMIFS('Daily Plan'!$H:$H,'Daily Plan'!$C:$C,$A3,'Daily Plan'!$A:$A,EP$1)</f>
        <v/>
      </c>
      <c r="EQ3" s="47">
        <f>SUMIFS('Daily Plan'!$H:$H,'Daily Plan'!$C:$C,$A3,'Daily Plan'!$A:$A,EQ$1)</f>
        <v/>
      </c>
      <c r="ER3" s="47">
        <f>SUMIFS('Daily Plan'!$H:$H,'Daily Plan'!$C:$C,$A3,'Daily Plan'!$A:$A,ER$1)</f>
        <v/>
      </c>
      <c r="ES3" s="48">
        <f>SUMIFS('Daily Plan'!$H:$H,'Daily Plan'!$C:$C,$A3,'Daily Plan'!$A:$A,ES$1)</f>
        <v/>
      </c>
      <c r="ET3" s="48">
        <f>SUMIFS('Daily Plan'!$H:$H,'Daily Plan'!$C:$C,$A3,'Daily Plan'!$A:$A,ET$1)</f>
        <v/>
      </c>
      <c r="EU3" s="47">
        <f>SUMIFS('Daily Plan'!$H:$H,'Daily Plan'!$C:$C,$A3,'Daily Plan'!$A:$A,EU$1)</f>
        <v/>
      </c>
      <c r="EV3" s="47">
        <f>SUMIFS('Daily Plan'!$H:$H,'Daily Plan'!$C:$C,$A3,'Daily Plan'!$A:$A,EV$1)</f>
        <v/>
      </c>
      <c r="EW3" s="47">
        <f>SUMIFS('Daily Plan'!$H:$H,'Daily Plan'!$C:$C,$A3,'Daily Plan'!$A:$A,EW$1)</f>
        <v/>
      </c>
      <c r="EX3" s="47">
        <f>SUMIFS('Daily Plan'!$H:$H,'Daily Plan'!$C:$C,$A3,'Daily Plan'!$A:$A,EX$1)</f>
        <v/>
      </c>
      <c r="EY3" s="47">
        <f>SUMIFS('Daily Plan'!$H:$H,'Daily Plan'!$C:$C,$A3,'Daily Plan'!$A:$A,EY$1)</f>
        <v/>
      </c>
      <c r="EZ3" s="48">
        <f>SUMIFS('Daily Plan'!$H:$H,'Daily Plan'!$C:$C,$A3,'Daily Plan'!$A:$A,EZ$1)</f>
        <v/>
      </c>
      <c r="FA3" s="48">
        <f>SUMIFS('Daily Plan'!$H:$H,'Daily Plan'!$C:$C,$A3,'Daily Plan'!$A:$A,FA$1)</f>
        <v/>
      </c>
      <c r="FB3" s="47">
        <f>SUMIFS('Daily Plan'!$H:$H,'Daily Plan'!$C:$C,$A3,'Daily Plan'!$A:$A,FB$1)</f>
        <v/>
      </c>
      <c r="FC3" s="47">
        <f>SUMIFS('Daily Plan'!$H:$H,'Daily Plan'!$C:$C,$A3,'Daily Plan'!$A:$A,FC$1)</f>
        <v/>
      </c>
      <c r="FD3" s="47">
        <f>SUMIFS('Daily Plan'!$H:$H,'Daily Plan'!$C:$C,$A3,'Daily Plan'!$A:$A,FD$1)</f>
        <v/>
      </c>
      <c r="FE3" s="47">
        <f>SUMIFS('Daily Plan'!$H:$H,'Daily Plan'!$C:$C,$A3,'Daily Plan'!$A:$A,FE$1)</f>
        <v/>
      </c>
      <c r="FF3" s="47">
        <f>SUMIFS('Daily Plan'!$H:$H,'Daily Plan'!$C:$C,$A3,'Daily Plan'!$A:$A,FF$1)</f>
        <v/>
      </c>
      <c r="FG3" s="48">
        <f>SUMIFS('Daily Plan'!$H:$H,'Daily Plan'!$C:$C,$A3,'Daily Plan'!$A:$A,FG$1)</f>
        <v/>
      </c>
      <c r="FH3" s="48">
        <f>SUMIFS('Daily Plan'!$H:$H,'Daily Plan'!$C:$C,$A3,'Daily Plan'!$A:$A,FH$1)</f>
        <v/>
      </c>
      <c r="FI3" s="47">
        <f>SUMIFS('Daily Plan'!$H:$H,'Daily Plan'!$C:$C,$A3,'Daily Plan'!$A:$A,FI$1)</f>
        <v/>
      </c>
      <c r="FJ3" s="47">
        <f>SUMIFS('Daily Plan'!$H:$H,'Daily Plan'!$C:$C,$A3,'Daily Plan'!$A:$A,FJ$1)</f>
        <v/>
      </c>
      <c r="FK3" s="47">
        <f>SUMIFS('Daily Plan'!$H:$H,'Daily Plan'!$C:$C,$A3,'Daily Plan'!$A:$A,FK$1)</f>
        <v/>
      </c>
      <c r="FL3" s="47">
        <f>SUMIFS('Daily Plan'!$H:$H,'Daily Plan'!$C:$C,$A3,'Daily Plan'!$A:$A,FL$1)</f>
        <v/>
      </c>
      <c r="FM3" s="47">
        <f>SUMIFS('Daily Plan'!$H:$H,'Daily Plan'!$C:$C,$A3,'Daily Plan'!$A:$A,FM$1)</f>
        <v/>
      </c>
      <c r="FN3" s="48">
        <f>SUMIFS('Daily Plan'!$H:$H,'Daily Plan'!$C:$C,$A3,'Daily Plan'!$A:$A,FN$1)</f>
        <v/>
      </c>
      <c r="FO3" s="48">
        <f>SUMIFS('Daily Plan'!$H:$H,'Daily Plan'!$C:$C,$A3,'Daily Plan'!$A:$A,FO$1)</f>
        <v/>
      </c>
      <c r="FP3" s="47">
        <f>SUMIFS('Daily Plan'!$H:$H,'Daily Plan'!$C:$C,$A3,'Daily Plan'!$A:$A,FP$1)</f>
        <v/>
      </c>
      <c r="FQ3" s="47">
        <f>SUMIFS('Daily Plan'!$H:$H,'Daily Plan'!$C:$C,$A3,'Daily Plan'!$A:$A,FQ$1)</f>
        <v/>
      </c>
      <c r="FR3" s="47">
        <f>SUMIFS('Daily Plan'!$H:$H,'Daily Plan'!$C:$C,$A3,'Daily Plan'!$A:$A,FR$1)</f>
        <v/>
      </c>
      <c r="FS3" s="47">
        <f>SUMIFS('Daily Plan'!$H:$H,'Daily Plan'!$C:$C,$A3,'Daily Plan'!$A:$A,FS$1)</f>
        <v/>
      </c>
    </row>
    <row r="4">
      <c r="A4" s="23" t="inlineStr">
        <is>
          <t>MLE-2</t>
        </is>
      </c>
      <c r="B4" s="23" t="inlineStr">
        <is>
          <t>工程</t>
        </is>
      </c>
      <c r="C4" s="2" t="inlineStr">
        <is>
          <t>M4 多产线排程</t>
        </is>
      </c>
      <c r="D4" s="43" t="n">
        <v>46174</v>
      </c>
      <c r="E4" s="43" t="n">
        <v>46199</v>
      </c>
      <c r="F4" s="23" t="inlineStr">
        <is>
          <t>pending</t>
        </is>
      </c>
      <c r="G4" s="44">
        <f>SUMIF('Daily Plan'!$C:$C,A4,'Daily Plan'!$H:$H)</f>
        <v/>
      </c>
      <c r="H4" s="44">
        <f>SUMIF('Daily Plan'!$C:$C,A4,'Daily Plan'!$I:$I)</f>
        <v/>
      </c>
      <c r="I4" s="44">
        <f>MAX(G4-H4,0)</f>
        <v/>
      </c>
      <c r="J4" s="25">
        <f>IF(G4=0,IF(F4="done",1,0),H4/G4)</f>
        <v/>
      </c>
      <c r="K4" s="2" t="inlineStr">
        <is>
          <t>P0</t>
        </is>
      </c>
      <c r="L4" s="2" t="inlineStr">
        <is>
          <t>多产线 case 通过，输出兼容</t>
        </is>
      </c>
      <c r="M4" s="47">
        <f>SUMIFS('Daily Plan'!$H:$H,'Daily Plan'!$C:$C,$A4,'Daily Plan'!$A:$A,M$1)</f>
        <v/>
      </c>
      <c r="N4" s="47">
        <f>SUMIFS('Daily Plan'!$H:$H,'Daily Plan'!$C:$C,$A4,'Daily Plan'!$A:$A,N$1)</f>
        <v/>
      </c>
      <c r="O4" s="47">
        <f>SUMIFS('Daily Plan'!$H:$H,'Daily Plan'!$C:$C,$A4,'Daily Plan'!$A:$A,O$1)</f>
        <v/>
      </c>
      <c r="P4" s="48">
        <f>SUMIFS('Daily Plan'!$H:$H,'Daily Plan'!$C:$C,$A4,'Daily Plan'!$A:$A,P$1)</f>
        <v/>
      </c>
      <c r="Q4" s="48">
        <f>SUMIFS('Daily Plan'!$H:$H,'Daily Plan'!$C:$C,$A4,'Daily Plan'!$A:$A,Q$1)</f>
        <v/>
      </c>
      <c r="R4" s="47">
        <f>SUMIFS('Daily Plan'!$H:$H,'Daily Plan'!$C:$C,$A4,'Daily Plan'!$A:$A,R$1)</f>
        <v/>
      </c>
      <c r="S4" s="47">
        <f>SUMIFS('Daily Plan'!$H:$H,'Daily Plan'!$C:$C,$A4,'Daily Plan'!$A:$A,S$1)</f>
        <v/>
      </c>
      <c r="T4" s="47">
        <f>SUMIFS('Daily Plan'!$H:$H,'Daily Plan'!$C:$C,$A4,'Daily Plan'!$A:$A,T$1)</f>
        <v/>
      </c>
      <c r="U4" s="47">
        <f>SUMIFS('Daily Plan'!$H:$H,'Daily Plan'!$C:$C,$A4,'Daily Plan'!$A:$A,U$1)</f>
        <v/>
      </c>
      <c r="V4" s="47">
        <f>SUMIFS('Daily Plan'!$H:$H,'Daily Plan'!$C:$C,$A4,'Daily Plan'!$A:$A,V$1)</f>
        <v/>
      </c>
      <c r="W4" s="48">
        <f>SUMIFS('Daily Plan'!$H:$H,'Daily Plan'!$C:$C,$A4,'Daily Plan'!$A:$A,W$1)</f>
        <v/>
      </c>
      <c r="X4" s="48">
        <f>SUMIFS('Daily Plan'!$H:$H,'Daily Plan'!$C:$C,$A4,'Daily Plan'!$A:$A,X$1)</f>
        <v/>
      </c>
      <c r="Y4" s="47">
        <f>SUMIFS('Daily Plan'!$H:$H,'Daily Plan'!$C:$C,$A4,'Daily Plan'!$A:$A,Y$1)</f>
        <v/>
      </c>
      <c r="Z4" s="47">
        <f>SUMIFS('Daily Plan'!$H:$H,'Daily Plan'!$C:$C,$A4,'Daily Plan'!$A:$A,Z$1)</f>
        <v/>
      </c>
      <c r="AA4" s="47">
        <f>SUMIFS('Daily Plan'!$H:$H,'Daily Plan'!$C:$C,$A4,'Daily Plan'!$A:$A,AA$1)</f>
        <v/>
      </c>
      <c r="AB4" s="47">
        <f>SUMIFS('Daily Plan'!$H:$H,'Daily Plan'!$C:$C,$A4,'Daily Plan'!$A:$A,AB$1)</f>
        <v/>
      </c>
      <c r="AC4" s="47">
        <f>SUMIFS('Daily Plan'!$H:$H,'Daily Plan'!$C:$C,$A4,'Daily Plan'!$A:$A,AC$1)</f>
        <v/>
      </c>
      <c r="AD4" s="48">
        <f>SUMIFS('Daily Plan'!$H:$H,'Daily Plan'!$C:$C,$A4,'Daily Plan'!$A:$A,AD$1)</f>
        <v/>
      </c>
      <c r="AE4" s="48">
        <f>SUMIFS('Daily Plan'!$H:$H,'Daily Plan'!$C:$C,$A4,'Daily Plan'!$A:$A,AE$1)</f>
        <v/>
      </c>
      <c r="AF4" s="47">
        <f>SUMIFS('Daily Plan'!$H:$H,'Daily Plan'!$C:$C,$A4,'Daily Plan'!$A:$A,AF$1)</f>
        <v/>
      </c>
      <c r="AG4" s="47">
        <f>SUMIFS('Daily Plan'!$H:$H,'Daily Plan'!$C:$C,$A4,'Daily Plan'!$A:$A,AG$1)</f>
        <v/>
      </c>
      <c r="AH4" s="47">
        <f>SUMIFS('Daily Plan'!$H:$H,'Daily Plan'!$C:$C,$A4,'Daily Plan'!$A:$A,AH$1)</f>
        <v/>
      </c>
      <c r="AI4" s="47">
        <f>SUMIFS('Daily Plan'!$H:$H,'Daily Plan'!$C:$C,$A4,'Daily Plan'!$A:$A,AI$1)</f>
        <v/>
      </c>
      <c r="AJ4" s="47">
        <f>SUMIFS('Daily Plan'!$H:$H,'Daily Plan'!$C:$C,$A4,'Daily Plan'!$A:$A,AJ$1)</f>
        <v/>
      </c>
      <c r="AK4" s="48">
        <f>SUMIFS('Daily Plan'!$H:$H,'Daily Plan'!$C:$C,$A4,'Daily Plan'!$A:$A,AK$1)</f>
        <v/>
      </c>
      <c r="AL4" s="48">
        <f>SUMIFS('Daily Plan'!$H:$H,'Daily Plan'!$C:$C,$A4,'Daily Plan'!$A:$A,AL$1)</f>
        <v/>
      </c>
      <c r="AM4" s="47">
        <f>SUMIFS('Daily Plan'!$H:$H,'Daily Plan'!$C:$C,$A4,'Daily Plan'!$A:$A,AM$1)</f>
        <v/>
      </c>
      <c r="AN4" s="47">
        <f>SUMIFS('Daily Plan'!$H:$H,'Daily Plan'!$C:$C,$A4,'Daily Plan'!$A:$A,AN$1)</f>
        <v/>
      </c>
      <c r="AO4" s="47">
        <f>SUMIFS('Daily Plan'!$H:$H,'Daily Plan'!$C:$C,$A4,'Daily Plan'!$A:$A,AO$1)</f>
        <v/>
      </c>
      <c r="AP4" s="47">
        <f>SUMIFS('Daily Plan'!$H:$H,'Daily Plan'!$C:$C,$A4,'Daily Plan'!$A:$A,AP$1)</f>
        <v/>
      </c>
      <c r="AQ4" s="47">
        <f>SUMIFS('Daily Plan'!$H:$H,'Daily Plan'!$C:$C,$A4,'Daily Plan'!$A:$A,AQ$1)</f>
        <v/>
      </c>
      <c r="AR4" s="48">
        <f>SUMIFS('Daily Plan'!$H:$H,'Daily Plan'!$C:$C,$A4,'Daily Plan'!$A:$A,AR$1)</f>
        <v/>
      </c>
      <c r="AS4" s="48">
        <f>SUMIFS('Daily Plan'!$H:$H,'Daily Plan'!$C:$C,$A4,'Daily Plan'!$A:$A,AS$1)</f>
        <v/>
      </c>
      <c r="AT4" s="47">
        <f>SUMIFS('Daily Plan'!$H:$H,'Daily Plan'!$C:$C,$A4,'Daily Plan'!$A:$A,AT$1)</f>
        <v/>
      </c>
      <c r="AU4" s="47">
        <f>SUMIFS('Daily Plan'!$H:$H,'Daily Plan'!$C:$C,$A4,'Daily Plan'!$A:$A,AU$1)</f>
        <v/>
      </c>
      <c r="AV4" s="47">
        <f>SUMIFS('Daily Plan'!$H:$H,'Daily Plan'!$C:$C,$A4,'Daily Plan'!$A:$A,AV$1)</f>
        <v/>
      </c>
      <c r="AW4" s="47">
        <f>SUMIFS('Daily Plan'!$H:$H,'Daily Plan'!$C:$C,$A4,'Daily Plan'!$A:$A,AW$1)</f>
        <v/>
      </c>
      <c r="AX4" s="47">
        <f>SUMIFS('Daily Plan'!$H:$H,'Daily Plan'!$C:$C,$A4,'Daily Plan'!$A:$A,AX$1)</f>
        <v/>
      </c>
      <c r="AY4" s="48">
        <f>SUMIFS('Daily Plan'!$H:$H,'Daily Plan'!$C:$C,$A4,'Daily Plan'!$A:$A,AY$1)</f>
        <v/>
      </c>
      <c r="AZ4" s="48">
        <f>SUMIFS('Daily Plan'!$H:$H,'Daily Plan'!$C:$C,$A4,'Daily Plan'!$A:$A,AZ$1)</f>
        <v/>
      </c>
      <c r="BA4" s="47">
        <f>SUMIFS('Daily Plan'!$H:$H,'Daily Plan'!$C:$C,$A4,'Daily Plan'!$A:$A,BA$1)</f>
        <v/>
      </c>
      <c r="BB4" s="47">
        <f>SUMIFS('Daily Plan'!$H:$H,'Daily Plan'!$C:$C,$A4,'Daily Plan'!$A:$A,BB$1)</f>
        <v/>
      </c>
      <c r="BC4" s="47">
        <f>SUMIFS('Daily Plan'!$H:$H,'Daily Plan'!$C:$C,$A4,'Daily Plan'!$A:$A,BC$1)</f>
        <v/>
      </c>
      <c r="BD4" s="47">
        <f>SUMIFS('Daily Plan'!$H:$H,'Daily Plan'!$C:$C,$A4,'Daily Plan'!$A:$A,BD$1)</f>
        <v/>
      </c>
      <c r="BE4" s="47">
        <f>SUMIFS('Daily Plan'!$H:$H,'Daily Plan'!$C:$C,$A4,'Daily Plan'!$A:$A,BE$1)</f>
        <v/>
      </c>
      <c r="BF4" s="48">
        <f>SUMIFS('Daily Plan'!$H:$H,'Daily Plan'!$C:$C,$A4,'Daily Plan'!$A:$A,BF$1)</f>
        <v/>
      </c>
      <c r="BG4" s="48">
        <f>SUMIFS('Daily Plan'!$H:$H,'Daily Plan'!$C:$C,$A4,'Daily Plan'!$A:$A,BG$1)</f>
        <v/>
      </c>
      <c r="BH4" s="47">
        <f>SUMIFS('Daily Plan'!$H:$H,'Daily Plan'!$C:$C,$A4,'Daily Plan'!$A:$A,BH$1)</f>
        <v/>
      </c>
      <c r="BI4" s="47">
        <f>SUMIFS('Daily Plan'!$H:$H,'Daily Plan'!$C:$C,$A4,'Daily Plan'!$A:$A,BI$1)</f>
        <v/>
      </c>
      <c r="BJ4" s="47">
        <f>SUMIFS('Daily Plan'!$H:$H,'Daily Plan'!$C:$C,$A4,'Daily Plan'!$A:$A,BJ$1)</f>
        <v/>
      </c>
      <c r="BK4" s="47">
        <f>SUMIFS('Daily Plan'!$H:$H,'Daily Plan'!$C:$C,$A4,'Daily Plan'!$A:$A,BK$1)</f>
        <v/>
      </c>
      <c r="BL4" s="47">
        <f>SUMIFS('Daily Plan'!$H:$H,'Daily Plan'!$C:$C,$A4,'Daily Plan'!$A:$A,BL$1)</f>
        <v/>
      </c>
      <c r="BM4" s="48">
        <f>SUMIFS('Daily Plan'!$H:$H,'Daily Plan'!$C:$C,$A4,'Daily Plan'!$A:$A,BM$1)</f>
        <v/>
      </c>
      <c r="BN4" s="48">
        <f>SUMIFS('Daily Plan'!$H:$H,'Daily Plan'!$C:$C,$A4,'Daily Plan'!$A:$A,BN$1)</f>
        <v/>
      </c>
      <c r="BO4" s="47">
        <f>SUMIFS('Daily Plan'!$H:$H,'Daily Plan'!$C:$C,$A4,'Daily Plan'!$A:$A,BO$1)</f>
        <v/>
      </c>
      <c r="BP4" s="47">
        <f>SUMIFS('Daily Plan'!$H:$H,'Daily Plan'!$C:$C,$A4,'Daily Plan'!$A:$A,BP$1)</f>
        <v/>
      </c>
      <c r="BQ4" s="47">
        <f>SUMIFS('Daily Plan'!$H:$H,'Daily Plan'!$C:$C,$A4,'Daily Plan'!$A:$A,BQ$1)</f>
        <v/>
      </c>
      <c r="BR4" s="47">
        <f>SUMIFS('Daily Plan'!$H:$H,'Daily Plan'!$C:$C,$A4,'Daily Plan'!$A:$A,BR$1)</f>
        <v/>
      </c>
      <c r="BS4" s="47">
        <f>SUMIFS('Daily Plan'!$H:$H,'Daily Plan'!$C:$C,$A4,'Daily Plan'!$A:$A,BS$1)</f>
        <v/>
      </c>
      <c r="BT4" s="48">
        <f>SUMIFS('Daily Plan'!$H:$H,'Daily Plan'!$C:$C,$A4,'Daily Plan'!$A:$A,BT$1)</f>
        <v/>
      </c>
      <c r="BU4" s="48">
        <f>SUMIFS('Daily Plan'!$H:$H,'Daily Plan'!$C:$C,$A4,'Daily Plan'!$A:$A,BU$1)</f>
        <v/>
      </c>
      <c r="BV4" s="47">
        <f>SUMIFS('Daily Plan'!$H:$H,'Daily Plan'!$C:$C,$A4,'Daily Plan'!$A:$A,BV$1)</f>
        <v/>
      </c>
      <c r="BW4" s="47">
        <f>SUMIFS('Daily Plan'!$H:$H,'Daily Plan'!$C:$C,$A4,'Daily Plan'!$A:$A,BW$1)</f>
        <v/>
      </c>
      <c r="BX4" s="47">
        <f>SUMIFS('Daily Plan'!$H:$H,'Daily Plan'!$C:$C,$A4,'Daily Plan'!$A:$A,BX$1)</f>
        <v/>
      </c>
      <c r="BY4" s="47">
        <f>SUMIFS('Daily Plan'!$H:$H,'Daily Plan'!$C:$C,$A4,'Daily Plan'!$A:$A,BY$1)</f>
        <v/>
      </c>
      <c r="BZ4" s="47">
        <f>SUMIFS('Daily Plan'!$H:$H,'Daily Plan'!$C:$C,$A4,'Daily Plan'!$A:$A,BZ$1)</f>
        <v/>
      </c>
      <c r="CA4" s="48">
        <f>SUMIFS('Daily Plan'!$H:$H,'Daily Plan'!$C:$C,$A4,'Daily Plan'!$A:$A,CA$1)</f>
        <v/>
      </c>
      <c r="CB4" s="48">
        <f>SUMIFS('Daily Plan'!$H:$H,'Daily Plan'!$C:$C,$A4,'Daily Plan'!$A:$A,CB$1)</f>
        <v/>
      </c>
      <c r="CC4" s="47">
        <f>SUMIFS('Daily Plan'!$H:$H,'Daily Plan'!$C:$C,$A4,'Daily Plan'!$A:$A,CC$1)</f>
        <v/>
      </c>
      <c r="CD4" s="47">
        <f>SUMIFS('Daily Plan'!$H:$H,'Daily Plan'!$C:$C,$A4,'Daily Plan'!$A:$A,CD$1)</f>
        <v/>
      </c>
      <c r="CE4" s="47">
        <f>SUMIFS('Daily Plan'!$H:$H,'Daily Plan'!$C:$C,$A4,'Daily Plan'!$A:$A,CE$1)</f>
        <v/>
      </c>
      <c r="CF4" s="47">
        <f>SUMIFS('Daily Plan'!$H:$H,'Daily Plan'!$C:$C,$A4,'Daily Plan'!$A:$A,CF$1)</f>
        <v/>
      </c>
      <c r="CG4" s="47">
        <f>SUMIFS('Daily Plan'!$H:$H,'Daily Plan'!$C:$C,$A4,'Daily Plan'!$A:$A,CG$1)</f>
        <v/>
      </c>
      <c r="CH4" s="48">
        <f>SUMIFS('Daily Plan'!$H:$H,'Daily Plan'!$C:$C,$A4,'Daily Plan'!$A:$A,CH$1)</f>
        <v/>
      </c>
      <c r="CI4" s="48">
        <f>SUMIFS('Daily Plan'!$H:$H,'Daily Plan'!$C:$C,$A4,'Daily Plan'!$A:$A,CI$1)</f>
        <v/>
      </c>
      <c r="CJ4" s="47">
        <f>SUMIFS('Daily Plan'!$H:$H,'Daily Plan'!$C:$C,$A4,'Daily Plan'!$A:$A,CJ$1)</f>
        <v/>
      </c>
      <c r="CK4" s="47">
        <f>SUMIFS('Daily Plan'!$H:$H,'Daily Plan'!$C:$C,$A4,'Daily Plan'!$A:$A,CK$1)</f>
        <v/>
      </c>
      <c r="CL4" s="47">
        <f>SUMIFS('Daily Plan'!$H:$H,'Daily Plan'!$C:$C,$A4,'Daily Plan'!$A:$A,CL$1)</f>
        <v/>
      </c>
      <c r="CM4" s="47">
        <f>SUMIFS('Daily Plan'!$H:$H,'Daily Plan'!$C:$C,$A4,'Daily Plan'!$A:$A,CM$1)</f>
        <v/>
      </c>
      <c r="CN4" s="47">
        <f>SUMIFS('Daily Plan'!$H:$H,'Daily Plan'!$C:$C,$A4,'Daily Plan'!$A:$A,CN$1)</f>
        <v/>
      </c>
      <c r="CO4" s="48">
        <f>SUMIFS('Daily Plan'!$H:$H,'Daily Plan'!$C:$C,$A4,'Daily Plan'!$A:$A,CO$1)</f>
        <v/>
      </c>
      <c r="CP4" s="48">
        <f>SUMIFS('Daily Plan'!$H:$H,'Daily Plan'!$C:$C,$A4,'Daily Plan'!$A:$A,CP$1)</f>
        <v/>
      </c>
      <c r="CQ4" s="47">
        <f>SUMIFS('Daily Plan'!$H:$H,'Daily Plan'!$C:$C,$A4,'Daily Plan'!$A:$A,CQ$1)</f>
        <v/>
      </c>
      <c r="CR4" s="47">
        <f>SUMIFS('Daily Plan'!$H:$H,'Daily Plan'!$C:$C,$A4,'Daily Plan'!$A:$A,CR$1)</f>
        <v/>
      </c>
      <c r="CS4" s="47">
        <f>SUMIFS('Daily Plan'!$H:$H,'Daily Plan'!$C:$C,$A4,'Daily Plan'!$A:$A,CS$1)</f>
        <v/>
      </c>
      <c r="CT4" s="47">
        <f>SUMIFS('Daily Plan'!$H:$H,'Daily Plan'!$C:$C,$A4,'Daily Plan'!$A:$A,CT$1)</f>
        <v/>
      </c>
      <c r="CU4" s="47">
        <f>SUMIFS('Daily Plan'!$H:$H,'Daily Plan'!$C:$C,$A4,'Daily Plan'!$A:$A,CU$1)</f>
        <v/>
      </c>
      <c r="CV4" s="48">
        <f>SUMIFS('Daily Plan'!$H:$H,'Daily Plan'!$C:$C,$A4,'Daily Plan'!$A:$A,CV$1)</f>
        <v/>
      </c>
      <c r="CW4" s="48">
        <f>SUMIFS('Daily Plan'!$H:$H,'Daily Plan'!$C:$C,$A4,'Daily Plan'!$A:$A,CW$1)</f>
        <v/>
      </c>
      <c r="CX4" s="47">
        <f>SUMIFS('Daily Plan'!$H:$H,'Daily Plan'!$C:$C,$A4,'Daily Plan'!$A:$A,CX$1)</f>
        <v/>
      </c>
      <c r="CY4" s="47">
        <f>SUMIFS('Daily Plan'!$H:$H,'Daily Plan'!$C:$C,$A4,'Daily Plan'!$A:$A,CY$1)</f>
        <v/>
      </c>
      <c r="CZ4" s="47">
        <f>SUMIFS('Daily Plan'!$H:$H,'Daily Plan'!$C:$C,$A4,'Daily Plan'!$A:$A,CZ$1)</f>
        <v/>
      </c>
      <c r="DA4" s="47">
        <f>SUMIFS('Daily Plan'!$H:$H,'Daily Plan'!$C:$C,$A4,'Daily Plan'!$A:$A,DA$1)</f>
        <v/>
      </c>
      <c r="DB4" s="47">
        <f>SUMIFS('Daily Plan'!$H:$H,'Daily Plan'!$C:$C,$A4,'Daily Plan'!$A:$A,DB$1)</f>
        <v/>
      </c>
      <c r="DC4" s="48">
        <f>SUMIFS('Daily Plan'!$H:$H,'Daily Plan'!$C:$C,$A4,'Daily Plan'!$A:$A,DC$1)</f>
        <v/>
      </c>
      <c r="DD4" s="48">
        <f>SUMIFS('Daily Plan'!$H:$H,'Daily Plan'!$C:$C,$A4,'Daily Plan'!$A:$A,DD$1)</f>
        <v/>
      </c>
      <c r="DE4" s="47">
        <f>SUMIFS('Daily Plan'!$H:$H,'Daily Plan'!$C:$C,$A4,'Daily Plan'!$A:$A,DE$1)</f>
        <v/>
      </c>
      <c r="DF4" s="47">
        <f>SUMIFS('Daily Plan'!$H:$H,'Daily Plan'!$C:$C,$A4,'Daily Plan'!$A:$A,DF$1)</f>
        <v/>
      </c>
      <c r="DG4" s="47">
        <f>SUMIFS('Daily Plan'!$H:$H,'Daily Plan'!$C:$C,$A4,'Daily Plan'!$A:$A,DG$1)</f>
        <v/>
      </c>
      <c r="DH4" s="47">
        <f>SUMIFS('Daily Plan'!$H:$H,'Daily Plan'!$C:$C,$A4,'Daily Plan'!$A:$A,DH$1)</f>
        <v/>
      </c>
      <c r="DI4" s="47">
        <f>SUMIFS('Daily Plan'!$H:$H,'Daily Plan'!$C:$C,$A4,'Daily Plan'!$A:$A,DI$1)</f>
        <v/>
      </c>
      <c r="DJ4" s="48">
        <f>SUMIFS('Daily Plan'!$H:$H,'Daily Plan'!$C:$C,$A4,'Daily Plan'!$A:$A,DJ$1)</f>
        <v/>
      </c>
      <c r="DK4" s="48">
        <f>SUMIFS('Daily Plan'!$H:$H,'Daily Plan'!$C:$C,$A4,'Daily Plan'!$A:$A,DK$1)</f>
        <v/>
      </c>
      <c r="DL4" s="47">
        <f>SUMIFS('Daily Plan'!$H:$H,'Daily Plan'!$C:$C,$A4,'Daily Plan'!$A:$A,DL$1)</f>
        <v/>
      </c>
      <c r="DM4" s="47">
        <f>SUMIFS('Daily Plan'!$H:$H,'Daily Plan'!$C:$C,$A4,'Daily Plan'!$A:$A,DM$1)</f>
        <v/>
      </c>
      <c r="DN4" s="47">
        <f>SUMIFS('Daily Plan'!$H:$H,'Daily Plan'!$C:$C,$A4,'Daily Plan'!$A:$A,DN$1)</f>
        <v/>
      </c>
      <c r="DO4" s="47">
        <f>SUMIFS('Daily Plan'!$H:$H,'Daily Plan'!$C:$C,$A4,'Daily Plan'!$A:$A,DO$1)</f>
        <v/>
      </c>
      <c r="DP4" s="47">
        <f>SUMIFS('Daily Plan'!$H:$H,'Daily Plan'!$C:$C,$A4,'Daily Plan'!$A:$A,DP$1)</f>
        <v/>
      </c>
      <c r="DQ4" s="48">
        <f>SUMIFS('Daily Plan'!$H:$H,'Daily Plan'!$C:$C,$A4,'Daily Plan'!$A:$A,DQ$1)</f>
        <v/>
      </c>
      <c r="DR4" s="48">
        <f>SUMIFS('Daily Plan'!$H:$H,'Daily Plan'!$C:$C,$A4,'Daily Plan'!$A:$A,DR$1)</f>
        <v/>
      </c>
      <c r="DS4" s="47">
        <f>SUMIFS('Daily Plan'!$H:$H,'Daily Plan'!$C:$C,$A4,'Daily Plan'!$A:$A,DS$1)</f>
        <v/>
      </c>
      <c r="DT4" s="47">
        <f>SUMIFS('Daily Plan'!$H:$H,'Daily Plan'!$C:$C,$A4,'Daily Plan'!$A:$A,DT$1)</f>
        <v/>
      </c>
      <c r="DU4" s="47">
        <f>SUMIFS('Daily Plan'!$H:$H,'Daily Plan'!$C:$C,$A4,'Daily Plan'!$A:$A,DU$1)</f>
        <v/>
      </c>
      <c r="DV4" s="47">
        <f>SUMIFS('Daily Plan'!$H:$H,'Daily Plan'!$C:$C,$A4,'Daily Plan'!$A:$A,DV$1)</f>
        <v/>
      </c>
      <c r="DW4" s="47">
        <f>SUMIFS('Daily Plan'!$H:$H,'Daily Plan'!$C:$C,$A4,'Daily Plan'!$A:$A,DW$1)</f>
        <v/>
      </c>
      <c r="DX4" s="48">
        <f>SUMIFS('Daily Plan'!$H:$H,'Daily Plan'!$C:$C,$A4,'Daily Plan'!$A:$A,DX$1)</f>
        <v/>
      </c>
      <c r="DY4" s="48">
        <f>SUMIFS('Daily Plan'!$H:$H,'Daily Plan'!$C:$C,$A4,'Daily Plan'!$A:$A,DY$1)</f>
        <v/>
      </c>
      <c r="DZ4" s="47">
        <f>SUMIFS('Daily Plan'!$H:$H,'Daily Plan'!$C:$C,$A4,'Daily Plan'!$A:$A,DZ$1)</f>
        <v/>
      </c>
      <c r="EA4" s="47">
        <f>SUMIFS('Daily Plan'!$H:$H,'Daily Plan'!$C:$C,$A4,'Daily Plan'!$A:$A,EA$1)</f>
        <v/>
      </c>
      <c r="EB4" s="47">
        <f>SUMIFS('Daily Plan'!$H:$H,'Daily Plan'!$C:$C,$A4,'Daily Plan'!$A:$A,EB$1)</f>
        <v/>
      </c>
      <c r="EC4" s="47">
        <f>SUMIFS('Daily Plan'!$H:$H,'Daily Plan'!$C:$C,$A4,'Daily Plan'!$A:$A,EC$1)</f>
        <v/>
      </c>
      <c r="ED4" s="47">
        <f>SUMIFS('Daily Plan'!$H:$H,'Daily Plan'!$C:$C,$A4,'Daily Plan'!$A:$A,ED$1)</f>
        <v/>
      </c>
      <c r="EE4" s="48">
        <f>SUMIFS('Daily Plan'!$H:$H,'Daily Plan'!$C:$C,$A4,'Daily Plan'!$A:$A,EE$1)</f>
        <v/>
      </c>
      <c r="EF4" s="48">
        <f>SUMIFS('Daily Plan'!$H:$H,'Daily Plan'!$C:$C,$A4,'Daily Plan'!$A:$A,EF$1)</f>
        <v/>
      </c>
      <c r="EG4" s="47">
        <f>SUMIFS('Daily Plan'!$H:$H,'Daily Plan'!$C:$C,$A4,'Daily Plan'!$A:$A,EG$1)</f>
        <v/>
      </c>
      <c r="EH4" s="47">
        <f>SUMIFS('Daily Plan'!$H:$H,'Daily Plan'!$C:$C,$A4,'Daily Plan'!$A:$A,EH$1)</f>
        <v/>
      </c>
      <c r="EI4" s="47">
        <f>SUMIFS('Daily Plan'!$H:$H,'Daily Plan'!$C:$C,$A4,'Daily Plan'!$A:$A,EI$1)</f>
        <v/>
      </c>
      <c r="EJ4" s="47">
        <f>SUMIFS('Daily Plan'!$H:$H,'Daily Plan'!$C:$C,$A4,'Daily Plan'!$A:$A,EJ$1)</f>
        <v/>
      </c>
      <c r="EK4" s="47">
        <f>SUMIFS('Daily Plan'!$H:$H,'Daily Plan'!$C:$C,$A4,'Daily Plan'!$A:$A,EK$1)</f>
        <v/>
      </c>
      <c r="EL4" s="48">
        <f>SUMIFS('Daily Plan'!$H:$H,'Daily Plan'!$C:$C,$A4,'Daily Plan'!$A:$A,EL$1)</f>
        <v/>
      </c>
      <c r="EM4" s="48">
        <f>SUMIFS('Daily Plan'!$H:$H,'Daily Plan'!$C:$C,$A4,'Daily Plan'!$A:$A,EM$1)</f>
        <v/>
      </c>
      <c r="EN4" s="47">
        <f>SUMIFS('Daily Plan'!$H:$H,'Daily Plan'!$C:$C,$A4,'Daily Plan'!$A:$A,EN$1)</f>
        <v/>
      </c>
      <c r="EO4" s="47">
        <f>SUMIFS('Daily Plan'!$H:$H,'Daily Plan'!$C:$C,$A4,'Daily Plan'!$A:$A,EO$1)</f>
        <v/>
      </c>
      <c r="EP4" s="47">
        <f>SUMIFS('Daily Plan'!$H:$H,'Daily Plan'!$C:$C,$A4,'Daily Plan'!$A:$A,EP$1)</f>
        <v/>
      </c>
      <c r="EQ4" s="47">
        <f>SUMIFS('Daily Plan'!$H:$H,'Daily Plan'!$C:$C,$A4,'Daily Plan'!$A:$A,EQ$1)</f>
        <v/>
      </c>
      <c r="ER4" s="47">
        <f>SUMIFS('Daily Plan'!$H:$H,'Daily Plan'!$C:$C,$A4,'Daily Plan'!$A:$A,ER$1)</f>
        <v/>
      </c>
      <c r="ES4" s="48">
        <f>SUMIFS('Daily Plan'!$H:$H,'Daily Plan'!$C:$C,$A4,'Daily Plan'!$A:$A,ES$1)</f>
        <v/>
      </c>
      <c r="ET4" s="48">
        <f>SUMIFS('Daily Plan'!$H:$H,'Daily Plan'!$C:$C,$A4,'Daily Plan'!$A:$A,ET$1)</f>
        <v/>
      </c>
      <c r="EU4" s="47">
        <f>SUMIFS('Daily Plan'!$H:$H,'Daily Plan'!$C:$C,$A4,'Daily Plan'!$A:$A,EU$1)</f>
        <v/>
      </c>
      <c r="EV4" s="47">
        <f>SUMIFS('Daily Plan'!$H:$H,'Daily Plan'!$C:$C,$A4,'Daily Plan'!$A:$A,EV$1)</f>
        <v/>
      </c>
      <c r="EW4" s="47">
        <f>SUMIFS('Daily Plan'!$H:$H,'Daily Plan'!$C:$C,$A4,'Daily Plan'!$A:$A,EW$1)</f>
        <v/>
      </c>
      <c r="EX4" s="47">
        <f>SUMIFS('Daily Plan'!$H:$H,'Daily Plan'!$C:$C,$A4,'Daily Plan'!$A:$A,EX$1)</f>
        <v/>
      </c>
      <c r="EY4" s="47">
        <f>SUMIFS('Daily Plan'!$H:$H,'Daily Plan'!$C:$C,$A4,'Daily Plan'!$A:$A,EY$1)</f>
        <v/>
      </c>
      <c r="EZ4" s="48">
        <f>SUMIFS('Daily Plan'!$H:$H,'Daily Plan'!$C:$C,$A4,'Daily Plan'!$A:$A,EZ$1)</f>
        <v/>
      </c>
      <c r="FA4" s="48">
        <f>SUMIFS('Daily Plan'!$H:$H,'Daily Plan'!$C:$C,$A4,'Daily Plan'!$A:$A,FA$1)</f>
        <v/>
      </c>
      <c r="FB4" s="47">
        <f>SUMIFS('Daily Plan'!$H:$H,'Daily Plan'!$C:$C,$A4,'Daily Plan'!$A:$A,FB$1)</f>
        <v/>
      </c>
      <c r="FC4" s="47">
        <f>SUMIFS('Daily Plan'!$H:$H,'Daily Plan'!$C:$C,$A4,'Daily Plan'!$A:$A,FC$1)</f>
        <v/>
      </c>
      <c r="FD4" s="47">
        <f>SUMIFS('Daily Plan'!$H:$H,'Daily Plan'!$C:$C,$A4,'Daily Plan'!$A:$A,FD$1)</f>
        <v/>
      </c>
      <c r="FE4" s="47">
        <f>SUMIFS('Daily Plan'!$H:$H,'Daily Plan'!$C:$C,$A4,'Daily Plan'!$A:$A,FE$1)</f>
        <v/>
      </c>
      <c r="FF4" s="47">
        <f>SUMIFS('Daily Plan'!$H:$H,'Daily Plan'!$C:$C,$A4,'Daily Plan'!$A:$A,FF$1)</f>
        <v/>
      </c>
      <c r="FG4" s="48">
        <f>SUMIFS('Daily Plan'!$H:$H,'Daily Plan'!$C:$C,$A4,'Daily Plan'!$A:$A,FG$1)</f>
        <v/>
      </c>
      <c r="FH4" s="48">
        <f>SUMIFS('Daily Plan'!$H:$H,'Daily Plan'!$C:$C,$A4,'Daily Plan'!$A:$A,FH$1)</f>
        <v/>
      </c>
      <c r="FI4" s="47">
        <f>SUMIFS('Daily Plan'!$H:$H,'Daily Plan'!$C:$C,$A4,'Daily Plan'!$A:$A,FI$1)</f>
        <v/>
      </c>
      <c r="FJ4" s="47">
        <f>SUMIFS('Daily Plan'!$H:$H,'Daily Plan'!$C:$C,$A4,'Daily Plan'!$A:$A,FJ$1)</f>
        <v/>
      </c>
      <c r="FK4" s="47">
        <f>SUMIFS('Daily Plan'!$H:$H,'Daily Plan'!$C:$C,$A4,'Daily Plan'!$A:$A,FK$1)</f>
        <v/>
      </c>
      <c r="FL4" s="47">
        <f>SUMIFS('Daily Plan'!$H:$H,'Daily Plan'!$C:$C,$A4,'Daily Plan'!$A:$A,FL$1)</f>
        <v/>
      </c>
      <c r="FM4" s="47">
        <f>SUMIFS('Daily Plan'!$H:$H,'Daily Plan'!$C:$C,$A4,'Daily Plan'!$A:$A,FM$1)</f>
        <v/>
      </c>
      <c r="FN4" s="48">
        <f>SUMIFS('Daily Plan'!$H:$H,'Daily Plan'!$C:$C,$A4,'Daily Plan'!$A:$A,FN$1)</f>
        <v/>
      </c>
      <c r="FO4" s="48">
        <f>SUMIFS('Daily Plan'!$H:$H,'Daily Plan'!$C:$C,$A4,'Daily Plan'!$A:$A,FO$1)</f>
        <v/>
      </c>
      <c r="FP4" s="47">
        <f>SUMIFS('Daily Plan'!$H:$H,'Daily Plan'!$C:$C,$A4,'Daily Plan'!$A:$A,FP$1)</f>
        <v/>
      </c>
      <c r="FQ4" s="47">
        <f>SUMIFS('Daily Plan'!$H:$H,'Daily Plan'!$C:$C,$A4,'Daily Plan'!$A:$A,FQ$1)</f>
        <v/>
      </c>
      <c r="FR4" s="47">
        <f>SUMIFS('Daily Plan'!$H:$H,'Daily Plan'!$C:$C,$A4,'Daily Plan'!$A:$A,FR$1)</f>
        <v/>
      </c>
      <c r="FS4" s="47">
        <f>SUMIFS('Daily Plan'!$H:$H,'Daily Plan'!$C:$C,$A4,'Daily Plan'!$A:$A,FS$1)</f>
        <v/>
      </c>
    </row>
    <row r="5">
      <c r="A5" s="23" t="inlineStr">
        <is>
          <t>CDP-1</t>
        </is>
      </c>
      <c r="B5" s="23" t="inlineStr">
        <is>
          <t>代码设计</t>
        </is>
      </c>
      <c r="C5" s="2" t="inlineStr">
        <is>
          <t>1000+ 行函数拆分</t>
        </is>
      </c>
      <c r="D5" s="43" t="n">
        <v>46169</v>
      </c>
      <c r="E5" s="43" t="n">
        <v>46190</v>
      </c>
      <c r="F5" s="23" t="inlineStr">
        <is>
          <t>pending</t>
        </is>
      </c>
      <c r="G5" s="44">
        <f>SUMIF('Daily Plan'!$C:$C,A5,'Daily Plan'!$H:$H)</f>
        <v/>
      </c>
      <c r="H5" s="44">
        <f>SUMIF('Daily Plan'!$C:$C,A5,'Daily Plan'!$I:$I)</f>
        <v/>
      </c>
      <c r="I5" s="44">
        <f>MAX(G5-H5,0)</f>
        <v/>
      </c>
      <c r="J5" s="25">
        <f>IF(G5=0,IF(F5="done",1,0),H5/G5)</f>
        <v/>
      </c>
      <c r="K5" s="2" t="inlineStr">
        <is>
          <t>MLE-1/MLE-2</t>
        </is>
      </c>
      <c r="L5" s="2" t="inlineStr">
        <is>
          <t>长函数拆分 PR 完成且测试保护通过</t>
        </is>
      </c>
      <c r="M5" s="47">
        <f>SUMIFS('Daily Plan'!$H:$H,'Daily Plan'!$C:$C,$A5,'Daily Plan'!$A:$A,M$1)</f>
        <v/>
      </c>
      <c r="N5" s="47">
        <f>SUMIFS('Daily Plan'!$H:$H,'Daily Plan'!$C:$C,$A5,'Daily Plan'!$A:$A,N$1)</f>
        <v/>
      </c>
      <c r="O5" s="47">
        <f>SUMIFS('Daily Plan'!$H:$H,'Daily Plan'!$C:$C,$A5,'Daily Plan'!$A:$A,O$1)</f>
        <v/>
      </c>
      <c r="P5" s="48">
        <f>SUMIFS('Daily Plan'!$H:$H,'Daily Plan'!$C:$C,$A5,'Daily Plan'!$A:$A,P$1)</f>
        <v/>
      </c>
      <c r="Q5" s="48">
        <f>SUMIFS('Daily Plan'!$H:$H,'Daily Plan'!$C:$C,$A5,'Daily Plan'!$A:$A,Q$1)</f>
        <v/>
      </c>
      <c r="R5" s="47">
        <f>SUMIFS('Daily Plan'!$H:$H,'Daily Plan'!$C:$C,$A5,'Daily Plan'!$A:$A,R$1)</f>
        <v/>
      </c>
      <c r="S5" s="47">
        <f>SUMIFS('Daily Plan'!$H:$H,'Daily Plan'!$C:$C,$A5,'Daily Plan'!$A:$A,S$1)</f>
        <v/>
      </c>
      <c r="T5" s="47">
        <f>SUMIFS('Daily Plan'!$H:$H,'Daily Plan'!$C:$C,$A5,'Daily Plan'!$A:$A,T$1)</f>
        <v/>
      </c>
      <c r="U5" s="47">
        <f>SUMIFS('Daily Plan'!$H:$H,'Daily Plan'!$C:$C,$A5,'Daily Plan'!$A:$A,U$1)</f>
        <v/>
      </c>
      <c r="V5" s="47">
        <f>SUMIFS('Daily Plan'!$H:$H,'Daily Plan'!$C:$C,$A5,'Daily Plan'!$A:$A,V$1)</f>
        <v/>
      </c>
      <c r="W5" s="48">
        <f>SUMIFS('Daily Plan'!$H:$H,'Daily Plan'!$C:$C,$A5,'Daily Plan'!$A:$A,W$1)</f>
        <v/>
      </c>
      <c r="X5" s="48">
        <f>SUMIFS('Daily Plan'!$H:$H,'Daily Plan'!$C:$C,$A5,'Daily Plan'!$A:$A,X$1)</f>
        <v/>
      </c>
      <c r="Y5" s="47">
        <f>SUMIFS('Daily Plan'!$H:$H,'Daily Plan'!$C:$C,$A5,'Daily Plan'!$A:$A,Y$1)</f>
        <v/>
      </c>
      <c r="Z5" s="47">
        <f>SUMIFS('Daily Plan'!$H:$H,'Daily Plan'!$C:$C,$A5,'Daily Plan'!$A:$A,Z$1)</f>
        <v/>
      </c>
      <c r="AA5" s="47">
        <f>SUMIFS('Daily Plan'!$H:$H,'Daily Plan'!$C:$C,$A5,'Daily Plan'!$A:$A,AA$1)</f>
        <v/>
      </c>
      <c r="AB5" s="47">
        <f>SUMIFS('Daily Plan'!$H:$H,'Daily Plan'!$C:$C,$A5,'Daily Plan'!$A:$A,AB$1)</f>
        <v/>
      </c>
      <c r="AC5" s="47">
        <f>SUMIFS('Daily Plan'!$H:$H,'Daily Plan'!$C:$C,$A5,'Daily Plan'!$A:$A,AC$1)</f>
        <v/>
      </c>
      <c r="AD5" s="48">
        <f>SUMIFS('Daily Plan'!$H:$H,'Daily Plan'!$C:$C,$A5,'Daily Plan'!$A:$A,AD$1)</f>
        <v/>
      </c>
      <c r="AE5" s="48">
        <f>SUMIFS('Daily Plan'!$H:$H,'Daily Plan'!$C:$C,$A5,'Daily Plan'!$A:$A,AE$1)</f>
        <v/>
      </c>
      <c r="AF5" s="47">
        <f>SUMIFS('Daily Plan'!$H:$H,'Daily Plan'!$C:$C,$A5,'Daily Plan'!$A:$A,AF$1)</f>
        <v/>
      </c>
      <c r="AG5" s="47">
        <f>SUMIFS('Daily Plan'!$H:$H,'Daily Plan'!$C:$C,$A5,'Daily Plan'!$A:$A,AG$1)</f>
        <v/>
      </c>
      <c r="AH5" s="47">
        <f>SUMIFS('Daily Plan'!$H:$H,'Daily Plan'!$C:$C,$A5,'Daily Plan'!$A:$A,AH$1)</f>
        <v/>
      </c>
      <c r="AI5" s="47">
        <f>SUMIFS('Daily Plan'!$H:$H,'Daily Plan'!$C:$C,$A5,'Daily Plan'!$A:$A,AI$1)</f>
        <v/>
      </c>
      <c r="AJ5" s="47">
        <f>SUMIFS('Daily Plan'!$H:$H,'Daily Plan'!$C:$C,$A5,'Daily Plan'!$A:$A,AJ$1)</f>
        <v/>
      </c>
      <c r="AK5" s="48">
        <f>SUMIFS('Daily Plan'!$H:$H,'Daily Plan'!$C:$C,$A5,'Daily Plan'!$A:$A,AK$1)</f>
        <v/>
      </c>
      <c r="AL5" s="48">
        <f>SUMIFS('Daily Plan'!$H:$H,'Daily Plan'!$C:$C,$A5,'Daily Plan'!$A:$A,AL$1)</f>
        <v/>
      </c>
      <c r="AM5" s="47">
        <f>SUMIFS('Daily Plan'!$H:$H,'Daily Plan'!$C:$C,$A5,'Daily Plan'!$A:$A,AM$1)</f>
        <v/>
      </c>
      <c r="AN5" s="47">
        <f>SUMIFS('Daily Plan'!$H:$H,'Daily Plan'!$C:$C,$A5,'Daily Plan'!$A:$A,AN$1)</f>
        <v/>
      </c>
      <c r="AO5" s="47">
        <f>SUMIFS('Daily Plan'!$H:$H,'Daily Plan'!$C:$C,$A5,'Daily Plan'!$A:$A,AO$1)</f>
        <v/>
      </c>
      <c r="AP5" s="47">
        <f>SUMIFS('Daily Plan'!$H:$H,'Daily Plan'!$C:$C,$A5,'Daily Plan'!$A:$A,AP$1)</f>
        <v/>
      </c>
      <c r="AQ5" s="47">
        <f>SUMIFS('Daily Plan'!$H:$H,'Daily Plan'!$C:$C,$A5,'Daily Plan'!$A:$A,AQ$1)</f>
        <v/>
      </c>
      <c r="AR5" s="48">
        <f>SUMIFS('Daily Plan'!$H:$H,'Daily Plan'!$C:$C,$A5,'Daily Plan'!$A:$A,AR$1)</f>
        <v/>
      </c>
      <c r="AS5" s="48">
        <f>SUMIFS('Daily Plan'!$H:$H,'Daily Plan'!$C:$C,$A5,'Daily Plan'!$A:$A,AS$1)</f>
        <v/>
      </c>
      <c r="AT5" s="47">
        <f>SUMIFS('Daily Plan'!$H:$H,'Daily Plan'!$C:$C,$A5,'Daily Plan'!$A:$A,AT$1)</f>
        <v/>
      </c>
      <c r="AU5" s="47">
        <f>SUMIFS('Daily Plan'!$H:$H,'Daily Plan'!$C:$C,$A5,'Daily Plan'!$A:$A,AU$1)</f>
        <v/>
      </c>
      <c r="AV5" s="47">
        <f>SUMIFS('Daily Plan'!$H:$H,'Daily Plan'!$C:$C,$A5,'Daily Plan'!$A:$A,AV$1)</f>
        <v/>
      </c>
      <c r="AW5" s="47">
        <f>SUMIFS('Daily Plan'!$H:$H,'Daily Plan'!$C:$C,$A5,'Daily Plan'!$A:$A,AW$1)</f>
        <v/>
      </c>
      <c r="AX5" s="47">
        <f>SUMIFS('Daily Plan'!$H:$H,'Daily Plan'!$C:$C,$A5,'Daily Plan'!$A:$A,AX$1)</f>
        <v/>
      </c>
      <c r="AY5" s="48">
        <f>SUMIFS('Daily Plan'!$H:$H,'Daily Plan'!$C:$C,$A5,'Daily Plan'!$A:$A,AY$1)</f>
        <v/>
      </c>
      <c r="AZ5" s="48">
        <f>SUMIFS('Daily Plan'!$H:$H,'Daily Plan'!$C:$C,$A5,'Daily Plan'!$A:$A,AZ$1)</f>
        <v/>
      </c>
      <c r="BA5" s="47">
        <f>SUMIFS('Daily Plan'!$H:$H,'Daily Plan'!$C:$C,$A5,'Daily Plan'!$A:$A,BA$1)</f>
        <v/>
      </c>
      <c r="BB5" s="47">
        <f>SUMIFS('Daily Plan'!$H:$H,'Daily Plan'!$C:$C,$A5,'Daily Plan'!$A:$A,BB$1)</f>
        <v/>
      </c>
      <c r="BC5" s="47">
        <f>SUMIFS('Daily Plan'!$H:$H,'Daily Plan'!$C:$C,$A5,'Daily Plan'!$A:$A,BC$1)</f>
        <v/>
      </c>
      <c r="BD5" s="47">
        <f>SUMIFS('Daily Plan'!$H:$H,'Daily Plan'!$C:$C,$A5,'Daily Plan'!$A:$A,BD$1)</f>
        <v/>
      </c>
      <c r="BE5" s="47">
        <f>SUMIFS('Daily Plan'!$H:$H,'Daily Plan'!$C:$C,$A5,'Daily Plan'!$A:$A,BE$1)</f>
        <v/>
      </c>
      <c r="BF5" s="48">
        <f>SUMIFS('Daily Plan'!$H:$H,'Daily Plan'!$C:$C,$A5,'Daily Plan'!$A:$A,BF$1)</f>
        <v/>
      </c>
      <c r="BG5" s="48">
        <f>SUMIFS('Daily Plan'!$H:$H,'Daily Plan'!$C:$C,$A5,'Daily Plan'!$A:$A,BG$1)</f>
        <v/>
      </c>
      <c r="BH5" s="47">
        <f>SUMIFS('Daily Plan'!$H:$H,'Daily Plan'!$C:$C,$A5,'Daily Plan'!$A:$A,BH$1)</f>
        <v/>
      </c>
      <c r="BI5" s="47">
        <f>SUMIFS('Daily Plan'!$H:$H,'Daily Plan'!$C:$C,$A5,'Daily Plan'!$A:$A,BI$1)</f>
        <v/>
      </c>
      <c r="BJ5" s="47">
        <f>SUMIFS('Daily Plan'!$H:$H,'Daily Plan'!$C:$C,$A5,'Daily Plan'!$A:$A,BJ$1)</f>
        <v/>
      </c>
      <c r="BK5" s="47">
        <f>SUMIFS('Daily Plan'!$H:$H,'Daily Plan'!$C:$C,$A5,'Daily Plan'!$A:$A,BK$1)</f>
        <v/>
      </c>
      <c r="BL5" s="47">
        <f>SUMIFS('Daily Plan'!$H:$H,'Daily Plan'!$C:$C,$A5,'Daily Plan'!$A:$A,BL$1)</f>
        <v/>
      </c>
      <c r="BM5" s="48">
        <f>SUMIFS('Daily Plan'!$H:$H,'Daily Plan'!$C:$C,$A5,'Daily Plan'!$A:$A,BM$1)</f>
        <v/>
      </c>
      <c r="BN5" s="48">
        <f>SUMIFS('Daily Plan'!$H:$H,'Daily Plan'!$C:$C,$A5,'Daily Plan'!$A:$A,BN$1)</f>
        <v/>
      </c>
      <c r="BO5" s="47">
        <f>SUMIFS('Daily Plan'!$H:$H,'Daily Plan'!$C:$C,$A5,'Daily Plan'!$A:$A,BO$1)</f>
        <v/>
      </c>
      <c r="BP5" s="47">
        <f>SUMIFS('Daily Plan'!$H:$H,'Daily Plan'!$C:$C,$A5,'Daily Plan'!$A:$A,BP$1)</f>
        <v/>
      </c>
      <c r="BQ5" s="47">
        <f>SUMIFS('Daily Plan'!$H:$H,'Daily Plan'!$C:$C,$A5,'Daily Plan'!$A:$A,BQ$1)</f>
        <v/>
      </c>
      <c r="BR5" s="47">
        <f>SUMIFS('Daily Plan'!$H:$H,'Daily Plan'!$C:$C,$A5,'Daily Plan'!$A:$A,BR$1)</f>
        <v/>
      </c>
      <c r="BS5" s="47">
        <f>SUMIFS('Daily Plan'!$H:$H,'Daily Plan'!$C:$C,$A5,'Daily Plan'!$A:$A,BS$1)</f>
        <v/>
      </c>
      <c r="BT5" s="48">
        <f>SUMIFS('Daily Plan'!$H:$H,'Daily Plan'!$C:$C,$A5,'Daily Plan'!$A:$A,BT$1)</f>
        <v/>
      </c>
      <c r="BU5" s="48">
        <f>SUMIFS('Daily Plan'!$H:$H,'Daily Plan'!$C:$C,$A5,'Daily Plan'!$A:$A,BU$1)</f>
        <v/>
      </c>
      <c r="BV5" s="47">
        <f>SUMIFS('Daily Plan'!$H:$H,'Daily Plan'!$C:$C,$A5,'Daily Plan'!$A:$A,BV$1)</f>
        <v/>
      </c>
      <c r="BW5" s="47">
        <f>SUMIFS('Daily Plan'!$H:$H,'Daily Plan'!$C:$C,$A5,'Daily Plan'!$A:$A,BW$1)</f>
        <v/>
      </c>
      <c r="BX5" s="47">
        <f>SUMIFS('Daily Plan'!$H:$H,'Daily Plan'!$C:$C,$A5,'Daily Plan'!$A:$A,BX$1)</f>
        <v/>
      </c>
      <c r="BY5" s="47">
        <f>SUMIFS('Daily Plan'!$H:$H,'Daily Plan'!$C:$C,$A5,'Daily Plan'!$A:$A,BY$1)</f>
        <v/>
      </c>
      <c r="BZ5" s="47">
        <f>SUMIFS('Daily Plan'!$H:$H,'Daily Plan'!$C:$C,$A5,'Daily Plan'!$A:$A,BZ$1)</f>
        <v/>
      </c>
      <c r="CA5" s="48">
        <f>SUMIFS('Daily Plan'!$H:$H,'Daily Plan'!$C:$C,$A5,'Daily Plan'!$A:$A,CA$1)</f>
        <v/>
      </c>
      <c r="CB5" s="48">
        <f>SUMIFS('Daily Plan'!$H:$H,'Daily Plan'!$C:$C,$A5,'Daily Plan'!$A:$A,CB$1)</f>
        <v/>
      </c>
      <c r="CC5" s="47">
        <f>SUMIFS('Daily Plan'!$H:$H,'Daily Plan'!$C:$C,$A5,'Daily Plan'!$A:$A,CC$1)</f>
        <v/>
      </c>
      <c r="CD5" s="47">
        <f>SUMIFS('Daily Plan'!$H:$H,'Daily Plan'!$C:$C,$A5,'Daily Plan'!$A:$A,CD$1)</f>
        <v/>
      </c>
      <c r="CE5" s="47">
        <f>SUMIFS('Daily Plan'!$H:$H,'Daily Plan'!$C:$C,$A5,'Daily Plan'!$A:$A,CE$1)</f>
        <v/>
      </c>
      <c r="CF5" s="47">
        <f>SUMIFS('Daily Plan'!$H:$H,'Daily Plan'!$C:$C,$A5,'Daily Plan'!$A:$A,CF$1)</f>
        <v/>
      </c>
      <c r="CG5" s="47">
        <f>SUMIFS('Daily Plan'!$H:$H,'Daily Plan'!$C:$C,$A5,'Daily Plan'!$A:$A,CG$1)</f>
        <v/>
      </c>
      <c r="CH5" s="48">
        <f>SUMIFS('Daily Plan'!$H:$H,'Daily Plan'!$C:$C,$A5,'Daily Plan'!$A:$A,CH$1)</f>
        <v/>
      </c>
      <c r="CI5" s="48">
        <f>SUMIFS('Daily Plan'!$H:$H,'Daily Plan'!$C:$C,$A5,'Daily Plan'!$A:$A,CI$1)</f>
        <v/>
      </c>
      <c r="CJ5" s="47">
        <f>SUMIFS('Daily Plan'!$H:$H,'Daily Plan'!$C:$C,$A5,'Daily Plan'!$A:$A,CJ$1)</f>
        <v/>
      </c>
      <c r="CK5" s="47">
        <f>SUMIFS('Daily Plan'!$H:$H,'Daily Plan'!$C:$C,$A5,'Daily Plan'!$A:$A,CK$1)</f>
        <v/>
      </c>
      <c r="CL5" s="47">
        <f>SUMIFS('Daily Plan'!$H:$H,'Daily Plan'!$C:$C,$A5,'Daily Plan'!$A:$A,CL$1)</f>
        <v/>
      </c>
      <c r="CM5" s="47">
        <f>SUMIFS('Daily Plan'!$H:$H,'Daily Plan'!$C:$C,$A5,'Daily Plan'!$A:$A,CM$1)</f>
        <v/>
      </c>
      <c r="CN5" s="47">
        <f>SUMIFS('Daily Plan'!$H:$H,'Daily Plan'!$C:$C,$A5,'Daily Plan'!$A:$A,CN$1)</f>
        <v/>
      </c>
      <c r="CO5" s="48">
        <f>SUMIFS('Daily Plan'!$H:$H,'Daily Plan'!$C:$C,$A5,'Daily Plan'!$A:$A,CO$1)</f>
        <v/>
      </c>
      <c r="CP5" s="48">
        <f>SUMIFS('Daily Plan'!$H:$H,'Daily Plan'!$C:$C,$A5,'Daily Plan'!$A:$A,CP$1)</f>
        <v/>
      </c>
      <c r="CQ5" s="47">
        <f>SUMIFS('Daily Plan'!$H:$H,'Daily Plan'!$C:$C,$A5,'Daily Plan'!$A:$A,CQ$1)</f>
        <v/>
      </c>
      <c r="CR5" s="47">
        <f>SUMIFS('Daily Plan'!$H:$H,'Daily Plan'!$C:$C,$A5,'Daily Plan'!$A:$A,CR$1)</f>
        <v/>
      </c>
      <c r="CS5" s="47">
        <f>SUMIFS('Daily Plan'!$H:$H,'Daily Plan'!$C:$C,$A5,'Daily Plan'!$A:$A,CS$1)</f>
        <v/>
      </c>
      <c r="CT5" s="47">
        <f>SUMIFS('Daily Plan'!$H:$H,'Daily Plan'!$C:$C,$A5,'Daily Plan'!$A:$A,CT$1)</f>
        <v/>
      </c>
      <c r="CU5" s="47">
        <f>SUMIFS('Daily Plan'!$H:$H,'Daily Plan'!$C:$C,$A5,'Daily Plan'!$A:$A,CU$1)</f>
        <v/>
      </c>
      <c r="CV5" s="48">
        <f>SUMIFS('Daily Plan'!$H:$H,'Daily Plan'!$C:$C,$A5,'Daily Plan'!$A:$A,CV$1)</f>
        <v/>
      </c>
      <c r="CW5" s="48">
        <f>SUMIFS('Daily Plan'!$H:$H,'Daily Plan'!$C:$C,$A5,'Daily Plan'!$A:$A,CW$1)</f>
        <v/>
      </c>
      <c r="CX5" s="47">
        <f>SUMIFS('Daily Plan'!$H:$H,'Daily Plan'!$C:$C,$A5,'Daily Plan'!$A:$A,CX$1)</f>
        <v/>
      </c>
      <c r="CY5" s="47">
        <f>SUMIFS('Daily Plan'!$H:$H,'Daily Plan'!$C:$C,$A5,'Daily Plan'!$A:$A,CY$1)</f>
        <v/>
      </c>
      <c r="CZ5" s="47">
        <f>SUMIFS('Daily Plan'!$H:$H,'Daily Plan'!$C:$C,$A5,'Daily Plan'!$A:$A,CZ$1)</f>
        <v/>
      </c>
      <c r="DA5" s="47">
        <f>SUMIFS('Daily Plan'!$H:$H,'Daily Plan'!$C:$C,$A5,'Daily Plan'!$A:$A,DA$1)</f>
        <v/>
      </c>
      <c r="DB5" s="47">
        <f>SUMIFS('Daily Plan'!$H:$H,'Daily Plan'!$C:$C,$A5,'Daily Plan'!$A:$A,DB$1)</f>
        <v/>
      </c>
      <c r="DC5" s="48">
        <f>SUMIFS('Daily Plan'!$H:$H,'Daily Plan'!$C:$C,$A5,'Daily Plan'!$A:$A,DC$1)</f>
        <v/>
      </c>
      <c r="DD5" s="48">
        <f>SUMIFS('Daily Plan'!$H:$H,'Daily Plan'!$C:$C,$A5,'Daily Plan'!$A:$A,DD$1)</f>
        <v/>
      </c>
      <c r="DE5" s="47">
        <f>SUMIFS('Daily Plan'!$H:$H,'Daily Plan'!$C:$C,$A5,'Daily Plan'!$A:$A,DE$1)</f>
        <v/>
      </c>
      <c r="DF5" s="47">
        <f>SUMIFS('Daily Plan'!$H:$H,'Daily Plan'!$C:$C,$A5,'Daily Plan'!$A:$A,DF$1)</f>
        <v/>
      </c>
      <c r="DG5" s="47">
        <f>SUMIFS('Daily Plan'!$H:$H,'Daily Plan'!$C:$C,$A5,'Daily Plan'!$A:$A,DG$1)</f>
        <v/>
      </c>
      <c r="DH5" s="47">
        <f>SUMIFS('Daily Plan'!$H:$H,'Daily Plan'!$C:$C,$A5,'Daily Plan'!$A:$A,DH$1)</f>
        <v/>
      </c>
      <c r="DI5" s="47">
        <f>SUMIFS('Daily Plan'!$H:$H,'Daily Plan'!$C:$C,$A5,'Daily Plan'!$A:$A,DI$1)</f>
        <v/>
      </c>
      <c r="DJ5" s="48">
        <f>SUMIFS('Daily Plan'!$H:$H,'Daily Plan'!$C:$C,$A5,'Daily Plan'!$A:$A,DJ$1)</f>
        <v/>
      </c>
      <c r="DK5" s="48">
        <f>SUMIFS('Daily Plan'!$H:$H,'Daily Plan'!$C:$C,$A5,'Daily Plan'!$A:$A,DK$1)</f>
        <v/>
      </c>
      <c r="DL5" s="47">
        <f>SUMIFS('Daily Plan'!$H:$H,'Daily Plan'!$C:$C,$A5,'Daily Plan'!$A:$A,DL$1)</f>
        <v/>
      </c>
      <c r="DM5" s="47">
        <f>SUMIFS('Daily Plan'!$H:$H,'Daily Plan'!$C:$C,$A5,'Daily Plan'!$A:$A,DM$1)</f>
        <v/>
      </c>
      <c r="DN5" s="47">
        <f>SUMIFS('Daily Plan'!$H:$H,'Daily Plan'!$C:$C,$A5,'Daily Plan'!$A:$A,DN$1)</f>
        <v/>
      </c>
      <c r="DO5" s="47">
        <f>SUMIFS('Daily Plan'!$H:$H,'Daily Plan'!$C:$C,$A5,'Daily Plan'!$A:$A,DO$1)</f>
        <v/>
      </c>
      <c r="DP5" s="47">
        <f>SUMIFS('Daily Plan'!$H:$H,'Daily Plan'!$C:$C,$A5,'Daily Plan'!$A:$A,DP$1)</f>
        <v/>
      </c>
      <c r="DQ5" s="48">
        <f>SUMIFS('Daily Plan'!$H:$H,'Daily Plan'!$C:$C,$A5,'Daily Plan'!$A:$A,DQ$1)</f>
        <v/>
      </c>
      <c r="DR5" s="48">
        <f>SUMIFS('Daily Plan'!$H:$H,'Daily Plan'!$C:$C,$A5,'Daily Plan'!$A:$A,DR$1)</f>
        <v/>
      </c>
      <c r="DS5" s="47">
        <f>SUMIFS('Daily Plan'!$H:$H,'Daily Plan'!$C:$C,$A5,'Daily Plan'!$A:$A,DS$1)</f>
        <v/>
      </c>
      <c r="DT5" s="47">
        <f>SUMIFS('Daily Plan'!$H:$H,'Daily Plan'!$C:$C,$A5,'Daily Plan'!$A:$A,DT$1)</f>
        <v/>
      </c>
      <c r="DU5" s="47">
        <f>SUMIFS('Daily Plan'!$H:$H,'Daily Plan'!$C:$C,$A5,'Daily Plan'!$A:$A,DU$1)</f>
        <v/>
      </c>
      <c r="DV5" s="47">
        <f>SUMIFS('Daily Plan'!$H:$H,'Daily Plan'!$C:$C,$A5,'Daily Plan'!$A:$A,DV$1)</f>
        <v/>
      </c>
      <c r="DW5" s="47">
        <f>SUMIFS('Daily Plan'!$H:$H,'Daily Plan'!$C:$C,$A5,'Daily Plan'!$A:$A,DW$1)</f>
        <v/>
      </c>
      <c r="DX5" s="48">
        <f>SUMIFS('Daily Plan'!$H:$H,'Daily Plan'!$C:$C,$A5,'Daily Plan'!$A:$A,DX$1)</f>
        <v/>
      </c>
      <c r="DY5" s="48">
        <f>SUMIFS('Daily Plan'!$H:$H,'Daily Plan'!$C:$C,$A5,'Daily Plan'!$A:$A,DY$1)</f>
        <v/>
      </c>
      <c r="DZ5" s="47">
        <f>SUMIFS('Daily Plan'!$H:$H,'Daily Plan'!$C:$C,$A5,'Daily Plan'!$A:$A,DZ$1)</f>
        <v/>
      </c>
      <c r="EA5" s="47">
        <f>SUMIFS('Daily Plan'!$H:$H,'Daily Plan'!$C:$C,$A5,'Daily Plan'!$A:$A,EA$1)</f>
        <v/>
      </c>
      <c r="EB5" s="47">
        <f>SUMIFS('Daily Plan'!$H:$H,'Daily Plan'!$C:$C,$A5,'Daily Plan'!$A:$A,EB$1)</f>
        <v/>
      </c>
      <c r="EC5" s="47">
        <f>SUMIFS('Daily Plan'!$H:$H,'Daily Plan'!$C:$C,$A5,'Daily Plan'!$A:$A,EC$1)</f>
        <v/>
      </c>
      <c r="ED5" s="47">
        <f>SUMIFS('Daily Plan'!$H:$H,'Daily Plan'!$C:$C,$A5,'Daily Plan'!$A:$A,ED$1)</f>
        <v/>
      </c>
      <c r="EE5" s="48">
        <f>SUMIFS('Daily Plan'!$H:$H,'Daily Plan'!$C:$C,$A5,'Daily Plan'!$A:$A,EE$1)</f>
        <v/>
      </c>
      <c r="EF5" s="48">
        <f>SUMIFS('Daily Plan'!$H:$H,'Daily Plan'!$C:$C,$A5,'Daily Plan'!$A:$A,EF$1)</f>
        <v/>
      </c>
      <c r="EG5" s="47">
        <f>SUMIFS('Daily Plan'!$H:$H,'Daily Plan'!$C:$C,$A5,'Daily Plan'!$A:$A,EG$1)</f>
        <v/>
      </c>
      <c r="EH5" s="47">
        <f>SUMIFS('Daily Plan'!$H:$H,'Daily Plan'!$C:$C,$A5,'Daily Plan'!$A:$A,EH$1)</f>
        <v/>
      </c>
      <c r="EI5" s="47">
        <f>SUMIFS('Daily Plan'!$H:$H,'Daily Plan'!$C:$C,$A5,'Daily Plan'!$A:$A,EI$1)</f>
        <v/>
      </c>
      <c r="EJ5" s="47">
        <f>SUMIFS('Daily Plan'!$H:$H,'Daily Plan'!$C:$C,$A5,'Daily Plan'!$A:$A,EJ$1)</f>
        <v/>
      </c>
      <c r="EK5" s="47">
        <f>SUMIFS('Daily Plan'!$H:$H,'Daily Plan'!$C:$C,$A5,'Daily Plan'!$A:$A,EK$1)</f>
        <v/>
      </c>
      <c r="EL5" s="48">
        <f>SUMIFS('Daily Plan'!$H:$H,'Daily Plan'!$C:$C,$A5,'Daily Plan'!$A:$A,EL$1)</f>
        <v/>
      </c>
      <c r="EM5" s="48">
        <f>SUMIFS('Daily Plan'!$H:$H,'Daily Plan'!$C:$C,$A5,'Daily Plan'!$A:$A,EM$1)</f>
        <v/>
      </c>
      <c r="EN5" s="47">
        <f>SUMIFS('Daily Plan'!$H:$H,'Daily Plan'!$C:$C,$A5,'Daily Plan'!$A:$A,EN$1)</f>
        <v/>
      </c>
      <c r="EO5" s="47">
        <f>SUMIFS('Daily Plan'!$H:$H,'Daily Plan'!$C:$C,$A5,'Daily Plan'!$A:$A,EO$1)</f>
        <v/>
      </c>
      <c r="EP5" s="47">
        <f>SUMIFS('Daily Plan'!$H:$H,'Daily Plan'!$C:$C,$A5,'Daily Plan'!$A:$A,EP$1)</f>
        <v/>
      </c>
      <c r="EQ5" s="47">
        <f>SUMIFS('Daily Plan'!$H:$H,'Daily Plan'!$C:$C,$A5,'Daily Plan'!$A:$A,EQ$1)</f>
        <v/>
      </c>
      <c r="ER5" s="47">
        <f>SUMIFS('Daily Plan'!$H:$H,'Daily Plan'!$C:$C,$A5,'Daily Plan'!$A:$A,ER$1)</f>
        <v/>
      </c>
      <c r="ES5" s="48">
        <f>SUMIFS('Daily Plan'!$H:$H,'Daily Plan'!$C:$C,$A5,'Daily Plan'!$A:$A,ES$1)</f>
        <v/>
      </c>
      <c r="ET5" s="48">
        <f>SUMIFS('Daily Plan'!$H:$H,'Daily Plan'!$C:$C,$A5,'Daily Plan'!$A:$A,ET$1)</f>
        <v/>
      </c>
      <c r="EU5" s="47">
        <f>SUMIFS('Daily Plan'!$H:$H,'Daily Plan'!$C:$C,$A5,'Daily Plan'!$A:$A,EU$1)</f>
        <v/>
      </c>
      <c r="EV5" s="47">
        <f>SUMIFS('Daily Plan'!$H:$H,'Daily Plan'!$C:$C,$A5,'Daily Plan'!$A:$A,EV$1)</f>
        <v/>
      </c>
      <c r="EW5" s="47">
        <f>SUMIFS('Daily Plan'!$H:$H,'Daily Plan'!$C:$C,$A5,'Daily Plan'!$A:$A,EW$1)</f>
        <v/>
      </c>
      <c r="EX5" s="47">
        <f>SUMIFS('Daily Plan'!$H:$H,'Daily Plan'!$C:$C,$A5,'Daily Plan'!$A:$A,EX$1)</f>
        <v/>
      </c>
      <c r="EY5" s="47">
        <f>SUMIFS('Daily Plan'!$H:$H,'Daily Plan'!$C:$C,$A5,'Daily Plan'!$A:$A,EY$1)</f>
        <v/>
      </c>
      <c r="EZ5" s="48">
        <f>SUMIFS('Daily Plan'!$H:$H,'Daily Plan'!$C:$C,$A5,'Daily Plan'!$A:$A,EZ$1)</f>
        <v/>
      </c>
      <c r="FA5" s="48">
        <f>SUMIFS('Daily Plan'!$H:$H,'Daily Plan'!$C:$C,$A5,'Daily Plan'!$A:$A,FA$1)</f>
        <v/>
      </c>
      <c r="FB5" s="47">
        <f>SUMIFS('Daily Plan'!$H:$H,'Daily Plan'!$C:$C,$A5,'Daily Plan'!$A:$A,FB$1)</f>
        <v/>
      </c>
      <c r="FC5" s="47">
        <f>SUMIFS('Daily Plan'!$H:$H,'Daily Plan'!$C:$C,$A5,'Daily Plan'!$A:$A,FC$1)</f>
        <v/>
      </c>
      <c r="FD5" s="47">
        <f>SUMIFS('Daily Plan'!$H:$H,'Daily Plan'!$C:$C,$A5,'Daily Plan'!$A:$A,FD$1)</f>
        <v/>
      </c>
      <c r="FE5" s="47">
        <f>SUMIFS('Daily Plan'!$H:$H,'Daily Plan'!$C:$C,$A5,'Daily Plan'!$A:$A,FE$1)</f>
        <v/>
      </c>
      <c r="FF5" s="47">
        <f>SUMIFS('Daily Plan'!$H:$H,'Daily Plan'!$C:$C,$A5,'Daily Plan'!$A:$A,FF$1)</f>
        <v/>
      </c>
      <c r="FG5" s="48">
        <f>SUMIFS('Daily Plan'!$H:$H,'Daily Plan'!$C:$C,$A5,'Daily Plan'!$A:$A,FG$1)</f>
        <v/>
      </c>
      <c r="FH5" s="48">
        <f>SUMIFS('Daily Plan'!$H:$H,'Daily Plan'!$C:$C,$A5,'Daily Plan'!$A:$A,FH$1)</f>
        <v/>
      </c>
      <c r="FI5" s="47">
        <f>SUMIFS('Daily Plan'!$H:$H,'Daily Plan'!$C:$C,$A5,'Daily Plan'!$A:$A,FI$1)</f>
        <v/>
      </c>
      <c r="FJ5" s="47">
        <f>SUMIFS('Daily Plan'!$H:$H,'Daily Plan'!$C:$C,$A5,'Daily Plan'!$A:$A,FJ$1)</f>
        <v/>
      </c>
      <c r="FK5" s="47">
        <f>SUMIFS('Daily Plan'!$H:$H,'Daily Plan'!$C:$C,$A5,'Daily Plan'!$A:$A,FK$1)</f>
        <v/>
      </c>
      <c r="FL5" s="47">
        <f>SUMIFS('Daily Plan'!$H:$H,'Daily Plan'!$C:$C,$A5,'Daily Plan'!$A:$A,FL$1)</f>
        <v/>
      </c>
      <c r="FM5" s="47">
        <f>SUMIFS('Daily Plan'!$H:$H,'Daily Plan'!$C:$C,$A5,'Daily Plan'!$A:$A,FM$1)</f>
        <v/>
      </c>
      <c r="FN5" s="48">
        <f>SUMIFS('Daily Plan'!$H:$H,'Daily Plan'!$C:$C,$A5,'Daily Plan'!$A:$A,FN$1)</f>
        <v/>
      </c>
      <c r="FO5" s="48">
        <f>SUMIFS('Daily Plan'!$H:$H,'Daily Plan'!$C:$C,$A5,'Daily Plan'!$A:$A,FO$1)</f>
        <v/>
      </c>
      <c r="FP5" s="47">
        <f>SUMIFS('Daily Plan'!$H:$H,'Daily Plan'!$C:$C,$A5,'Daily Plan'!$A:$A,FP$1)</f>
        <v/>
      </c>
      <c r="FQ5" s="47">
        <f>SUMIFS('Daily Plan'!$H:$H,'Daily Plan'!$C:$C,$A5,'Daily Plan'!$A:$A,FQ$1)</f>
        <v/>
      </c>
      <c r="FR5" s="47">
        <f>SUMIFS('Daily Plan'!$H:$H,'Daily Plan'!$C:$C,$A5,'Daily Plan'!$A:$A,FR$1)</f>
        <v/>
      </c>
      <c r="FS5" s="47">
        <f>SUMIFS('Daily Plan'!$H:$H,'Daily Plan'!$C:$C,$A5,'Daily Plan'!$A:$A,FS$1)</f>
        <v/>
      </c>
    </row>
    <row r="6">
      <c r="A6" s="23" t="inlineStr">
        <is>
          <t>MLE-3</t>
        </is>
      </c>
      <c r="B6" s="23" t="inlineStr">
        <is>
          <t>工程</t>
        </is>
      </c>
      <c r="C6" s="2" t="inlineStr">
        <is>
          <t>filtered dataframe 优化</t>
        </is>
      </c>
      <c r="D6" s="43" t="n">
        <v>46202</v>
      </c>
      <c r="E6" s="43" t="n">
        <v>46206</v>
      </c>
      <c r="F6" s="23" t="inlineStr">
        <is>
          <t>pending</t>
        </is>
      </c>
      <c r="G6" s="44">
        <f>SUMIF('Daily Plan'!$C:$C,A6,'Daily Plan'!$H:$H)</f>
        <v/>
      </c>
      <c r="H6" s="44">
        <f>SUMIF('Daily Plan'!$C:$C,A6,'Daily Plan'!$I:$I)</f>
        <v/>
      </c>
      <c r="I6" s="44">
        <f>MAX(G6-H6,0)</f>
        <v/>
      </c>
      <c r="J6" s="25">
        <f>IF(G6=0,IF(F6="done",1,0),H6/G6)</f>
        <v/>
      </c>
      <c r="K6" s="2" t="inlineStr">
        <is>
          <t>MLE-1/MLE-2</t>
        </is>
      </c>
      <c r="L6" s="2" t="inlineStr">
        <is>
          <t>无 chained indexing 风险</t>
        </is>
      </c>
      <c r="M6" s="47">
        <f>SUMIFS('Daily Plan'!$H:$H,'Daily Plan'!$C:$C,$A6,'Daily Plan'!$A:$A,M$1)</f>
        <v/>
      </c>
      <c r="N6" s="47">
        <f>SUMIFS('Daily Plan'!$H:$H,'Daily Plan'!$C:$C,$A6,'Daily Plan'!$A:$A,N$1)</f>
        <v/>
      </c>
      <c r="O6" s="47">
        <f>SUMIFS('Daily Plan'!$H:$H,'Daily Plan'!$C:$C,$A6,'Daily Plan'!$A:$A,O$1)</f>
        <v/>
      </c>
      <c r="P6" s="48">
        <f>SUMIFS('Daily Plan'!$H:$H,'Daily Plan'!$C:$C,$A6,'Daily Plan'!$A:$A,P$1)</f>
        <v/>
      </c>
      <c r="Q6" s="48">
        <f>SUMIFS('Daily Plan'!$H:$H,'Daily Plan'!$C:$C,$A6,'Daily Plan'!$A:$A,Q$1)</f>
        <v/>
      </c>
      <c r="R6" s="47">
        <f>SUMIFS('Daily Plan'!$H:$H,'Daily Plan'!$C:$C,$A6,'Daily Plan'!$A:$A,R$1)</f>
        <v/>
      </c>
      <c r="S6" s="47">
        <f>SUMIFS('Daily Plan'!$H:$H,'Daily Plan'!$C:$C,$A6,'Daily Plan'!$A:$A,S$1)</f>
        <v/>
      </c>
      <c r="T6" s="47">
        <f>SUMIFS('Daily Plan'!$H:$H,'Daily Plan'!$C:$C,$A6,'Daily Plan'!$A:$A,T$1)</f>
        <v/>
      </c>
      <c r="U6" s="47">
        <f>SUMIFS('Daily Plan'!$H:$H,'Daily Plan'!$C:$C,$A6,'Daily Plan'!$A:$A,U$1)</f>
        <v/>
      </c>
      <c r="V6" s="47">
        <f>SUMIFS('Daily Plan'!$H:$H,'Daily Plan'!$C:$C,$A6,'Daily Plan'!$A:$A,V$1)</f>
        <v/>
      </c>
      <c r="W6" s="48">
        <f>SUMIFS('Daily Plan'!$H:$H,'Daily Plan'!$C:$C,$A6,'Daily Plan'!$A:$A,W$1)</f>
        <v/>
      </c>
      <c r="X6" s="48">
        <f>SUMIFS('Daily Plan'!$H:$H,'Daily Plan'!$C:$C,$A6,'Daily Plan'!$A:$A,X$1)</f>
        <v/>
      </c>
      <c r="Y6" s="47">
        <f>SUMIFS('Daily Plan'!$H:$H,'Daily Plan'!$C:$C,$A6,'Daily Plan'!$A:$A,Y$1)</f>
        <v/>
      </c>
      <c r="Z6" s="47">
        <f>SUMIFS('Daily Plan'!$H:$H,'Daily Plan'!$C:$C,$A6,'Daily Plan'!$A:$A,Z$1)</f>
        <v/>
      </c>
      <c r="AA6" s="47">
        <f>SUMIFS('Daily Plan'!$H:$H,'Daily Plan'!$C:$C,$A6,'Daily Plan'!$A:$A,AA$1)</f>
        <v/>
      </c>
      <c r="AB6" s="47">
        <f>SUMIFS('Daily Plan'!$H:$H,'Daily Plan'!$C:$C,$A6,'Daily Plan'!$A:$A,AB$1)</f>
        <v/>
      </c>
      <c r="AC6" s="47">
        <f>SUMIFS('Daily Plan'!$H:$H,'Daily Plan'!$C:$C,$A6,'Daily Plan'!$A:$A,AC$1)</f>
        <v/>
      </c>
      <c r="AD6" s="48">
        <f>SUMIFS('Daily Plan'!$H:$H,'Daily Plan'!$C:$C,$A6,'Daily Plan'!$A:$A,AD$1)</f>
        <v/>
      </c>
      <c r="AE6" s="48">
        <f>SUMIFS('Daily Plan'!$H:$H,'Daily Plan'!$C:$C,$A6,'Daily Plan'!$A:$A,AE$1)</f>
        <v/>
      </c>
      <c r="AF6" s="47">
        <f>SUMIFS('Daily Plan'!$H:$H,'Daily Plan'!$C:$C,$A6,'Daily Plan'!$A:$A,AF$1)</f>
        <v/>
      </c>
      <c r="AG6" s="47">
        <f>SUMIFS('Daily Plan'!$H:$H,'Daily Plan'!$C:$C,$A6,'Daily Plan'!$A:$A,AG$1)</f>
        <v/>
      </c>
      <c r="AH6" s="47">
        <f>SUMIFS('Daily Plan'!$H:$H,'Daily Plan'!$C:$C,$A6,'Daily Plan'!$A:$A,AH$1)</f>
        <v/>
      </c>
      <c r="AI6" s="47">
        <f>SUMIFS('Daily Plan'!$H:$H,'Daily Plan'!$C:$C,$A6,'Daily Plan'!$A:$A,AI$1)</f>
        <v/>
      </c>
      <c r="AJ6" s="47">
        <f>SUMIFS('Daily Plan'!$H:$H,'Daily Plan'!$C:$C,$A6,'Daily Plan'!$A:$A,AJ$1)</f>
        <v/>
      </c>
      <c r="AK6" s="48">
        <f>SUMIFS('Daily Plan'!$H:$H,'Daily Plan'!$C:$C,$A6,'Daily Plan'!$A:$A,AK$1)</f>
        <v/>
      </c>
      <c r="AL6" s="48">
        <f>SUMIFS('Daily Plan'!$H:$H,'Daily Plan'!$C:$C,$A6,'Daily Plan'!$A:$A,AL$1)</f>
        <v/>
      </c>
      <c r="AM6" s="47">
        <f>SUMIFS('Daily Plan'!$H:$H,'Daily Plan'!$C:$C,$A6,'Daily Plan'!$A:$A,AM$1)</f>
        <v/>
      </c>
      <c r="AN6" s="47">
        <f>SUMIFS('Daily Plan'!$H:$H,'Daily Plan'!$C:$C,$A6,'Daily Plan'!$A:$A,AN$1)</f>
        <v/>
      </c>
      <c r="AO6" s="47">
        <f>SUMIFS('Daily Plan'!$H:$H,'Daily Plan'!$C:$C,$A6,'Daily Plan'!$A:$A,AO$1)</f>
        <v/>
      </c>
      <c r="AP6" s="47">
        <f>SUMIFS('Daily Plan'!$H:$H,'Daily Plan'!$C:$C,$A6,'Daily Plan'!$A:$A,AP$1)</f>
        <v/>
      </c>
      <c r="AQ6" s="47">
        <f>SUMIFS('Daily Plan'!$H:$H,'Daily Plan'!$C:$C,$A6,'Daily Plan'!$A:$A,AQ$1)</f>
        <v/>
      </c>
      <c r="AR6" s="48">
        <f>SUMIFS('Daily Plan'!$H:$H,'Daily Plan'!$C:$C,$A6,'Daily Plan'!$A:$A,AR$1)</f>
        <v/>
      </c>
      <c r="AS6" s="48">
        <f>SUMIFS('Daily Plan'!$H:$H,'Daily Plan'!$C:$C,$A6,'Daily Plan'!$A:$A,AS$1)</f>
        <v/>
      </c>
      <c r="AT6" s="47">
        <f>SUMIFS('Daily Plan'!$H:$H,'Daily Plan'!$C:$C,$A6,'Daily Plan'!$A:$A,AT$1)</f>
        <v/>
      </c>
      <c r="AU6" s="47">
        <f>SUMIFS('Daily Plan'!$H:$H,'Daily Plan'!$C:$C,$A6,'Daily Plan'!$A:$A,AU$1)</f>
        <v/>
      </c>
      <c r="AV6" s="47">
        <f>SUMIFS('Daily Plan'!$H:$H,'Daily Plan'!$C:$C,$A6,'Daily Plan'!$A:$A,AV$1)</f>
        <v/>
      </c>
      <c r="AW6" s="47">
        <f>SUMIFS('Daily Plan'!$H:$H,'Daily Plan'!$C:$C,$A6,'Daily Plan'!$A:$A,AW$1)</f>
        <v/>
      </c>
      <c r="AX6" s="47">
        <f>SUMIFS('Daily Plan'!$H:$H,'Daily Plan'!$C:$C,$A6,'Daily Plan'!$A:$A,AX$1)</f>
        <v/>
      </c>
      <c r="AY6" s="48">
        <f>SUMIFS('Daily Plan'!$H:$H,'Daily Plan'!$C:$C,$A6,'Daily Plan'!$A:$A,AY$1)</f>
        <v/>
      </c>
      <c r="AZ6" s="48">
        <f>SUMIFS('Daily Plan'!$H:$H,'Daily Plan'!$C:$C,$A6,'Daily Plan'!$A:$A,AZ$1)</f>
        <v/>
      </c>
      <c r="BA6" s="47">
        <f>SUMIFS('Daily Plan'!$H:$H,'Daily Plan'!$C:$C,$A6,'Daily Plan'!$A:$A,BA$1)</f>
        <v/>
      </c>
      <c r="BB6" s="47">
        <f>SUMIFS('Daily Plan'!$H:$H,'Daily Plan'!$C:$C,$A6,'Daily Plan'!$A:$A,BB$1)</f>
        <v/>
      </c>
      <c r="BC6" s="47">
        <f>SUMIFS('Daily Plan'!$H:$H,'Daily Plan'!$C:$C,$A6,'Daily Plan'!$A:$A,BC$1)</f>
        <v/>
      </c>
      <c r="BD6" s="47">
        <f>SUMIFS('Daily Plan'!$H:$H,'Daily Plan'!$C:$C,$A6,'Daily Plan'!$A:$A,BD$1)</f>
        <v/>
      </c>
      <c r="BE6" s="47">
        <f>SUMIFS('Daily Plan'!$H:$H,'Daily Plan'!$C:$C,$A6,'Daily Plan'!$A:$A,BE$1)</f>
        <v/>
      </c>
      <c r="BF6" s="48">
        <f>SUMIFS('Daily Plan'!$H:$H,'Daily Plan'!$C:$C,$A6,'Daily Plan'!$A:$A,BF$1)</f>
        <v/>
      </c>
      <c r="BG6" s="48">
        <f>SUMIFS('Daily Plan'!$H:$H,'Daily Plan'!$C:$C,$A6,'Daily Plan'!$A:$A,BG$1)</f>
        <v/>
      </c>
      <c r="BH6" s="47">
        <f>SUMIFS('Daily Plan'!$H:$H,'Daily Plan'!$C:$C,$A6,'Daily Plan'!$A:$A,BH$1)</f>
        <v/>
      </c>
      <c r="BI6" s="47">
        <f>SUMIFS('Daily Plan'!$H:$H,'Daily Plan'!$C:$C,$A6,'Daily Plan'!$A:$A,BI$1)</f>
        <v/>
      </c>
      <c r="BJ6" s="47">
        <f>SUMIFS('Daily Plan'!$H:$H,'Daily Plan'!$C:$C,$A6,'Daily Plan'!$A:$A,BJ$1)</f>
        <v/>
      </c>
      <c r="BK6" s="47">
        <f>SUMIFS('Daily Plan'!$H:$H,'Daily Plan'!$C:$C,$A6,'Daily Plan'!$A:$A,BK$1)</f>
        <v/>
      </c>
      <c r="BL6" s="47">
        <f>SUMIFS('Daily Plan'!$H:$H,'Daily Plan'!$C:$C,$A6,'Daily Plan'!$A:$A,BL$1)</f>
        <v/>
      </c>
      <c r="BM6" s="48">
        <f>SUMIFS('Daily Plan'!$H:$H,'Daily Plan'!$C:$C,$A6,'Daily Plan'!$A:$A,BM$1)</f>
        <v/>
      </c>
      <c r="BN6" s="48">
        <f>SUMIFS('Daily Plan'!$H:$H,'Daily Plan'!$C:$C,$A6,'Daily Plan'!$A:$A,BN$1)</f>
        <v/>
      </c>
      <c r="BO6" s="47">
        <f>SUMIFS('Daily Plan'!$H:$H,'Daily Plan'!$C:$C,$A6,'Daily Plan'!$A:$A,BO$1)</f>
        <v/>
      </c>
      <c r="BP6" s="47">
        <f>SUMIFS('Daily Plan'!$H:$H,'Daily Plan'!$C:$C,$A6,'Daily Plan'!$A:$A,BP$1)</f>
        <v/>
      </c>
      <c r="BQ6" s="47">
        <f>SUMIFS('Daily Plan'!$H:$H,'Daily Plan'!$C:$C,$A6,'Daily Plan'!$A:$A,BQ$1)</f>
        <v/>
      </c>
      <c r="BR6" s="47">
        <f>SUMIFS('Daily Plan'!$H:$H,'Daily Plan'!$C:$C,$A6,'Daily Plan'!$A:$A,BR$1)</f>
        <v/>
      </c>
      <c r="BS6" s="47">
        <f>SUMIFS('Daily Plan'!$H:$H,'Daily Plan'!$C:$C,$A6,'Daily Plan'!$A:$A,BS$1)</f>
        <v/>
      </c>
      <c r="BT6" s="48">
        <f>SUMIFS('Daily Plan'!$H:$H,'Daily Plan'!$C:$C,$A6,'Daily Plan'!$A:$A,BT$1)</f>
        <v/>
      </c>
      <c r="BU6" s="48">
        <f>SUMIFS('Daily Plan'!$H:$H,'Daily Plan'!$C:$C,$A6,'Daily Plan'!$A:$A,BU$1)</f>
        <v/>
      </c>
      <c r="BV6" s="47">
        <f>SUMIFS('Daily Plan'!$H:$H,'Daily Plan'!$C:$C,$A6,'Daily Plan'!$A:$A,BV$1)</f>
        <v/>
      </c>
      <c r="BW6" s="47">
        <f>SUMIFS('Daily Plan'!$H:$H,'Daily Plan'!$C:$C,$A6,'Daily Plan'!$A:$A,BW$1)</f>
        <v/>
      </c>
      <c r="BX6" s="47">
        <f>SUMIFS('Daily Plan'!$H:$H,'Daily Plan'!$C:$C,$A6,'Daily Plan'!$A:$A,BX$1)</f>
        <v/>
      </c>
      <c r="BY6" s="47">
        <f>SUMIFS('Daily Plan'!$H:$H,'Daily Plan'!$C:$C,$A6,'Daily Plan'!$A:$A,BY$1)</f>
        <v/>
      </c>
      <c r="BZ6" s="47">
        <f>SUMIFS('Daily Plan'!$H:$H,'Daily Plan'!$C:$C,$A6,'Daily Plan'!$A:$A,BZ$1)</f>
        <v/>
      </c>
      <c r="CA6" s="48">
        <f>SUMIFS('Daily Plan'!$H:$H,'Daily Plan'!$C:$C,$A6,'Daily Plan'!$A:$A,CA$1)</f>
        <v/>
      </c>
      <c r="CB6" s="48">
        <f>SUMIFS('Daily Plan'!$H:$H,'Daily Plan'!$C:$C,$A6,'Daily Plan'!$A:$A,CB$1)</f>
        <v/>
      </c>
      <c r="CC6" s="47">
        <f>SUMIFS('Daily Plan'!$H:$H,'Daily Plan'!$C:$C,$A6,'Daily Plan'!$A:$A,CC$1)</f>
        <v/>
      </c>
      <c r="CD6" s="47">
        <f>SUMIFS('Daily Plan'!$H:$H,'Daily Plan'!$C:$C,$A6,'Daily Plan'!$A:$A,CD$1)</f>
        <v/>
      </c>
      <c r="CE6" s="47">
        <f>SUMIFS('Daily Plan'!$H:$H,'Daily Plan'!$C:$C,$A6,'Daily Plan'!$A:$A,CE$1)</f>
        <v/>
      </c>
      <c r="CF6" s="47">
        <f>SUMIFS('Daily Plan'!$H:$H,'Daily Plan'!$C:$C,$A6,'Daily Plan'!$A:$A,CF$1)</f>
        <v/>
      </c>
      <c r="CG6" s="47">
        <f>SUMIFS('Daily Plan'!$H:$H,'Daily Plan'!$C:$C,$A6,'Daily Plan'!$A:$A,CG$1)</f>
        <v/>
      </c>
      <c r="CH6" s="48">
        <f>SUMIFS('Daily Plan'!$H:$H,'Daily Plan'!$C:$C,$A6,'Daily Plan'!$A:$A,CH$1)</f>
        <v/>
      </c>
      <c r="CI6" s="48">
        <f>SUMIFS('Daily Plan'!$H:$H,'Daily Plan'!$C:$C,$A6,'Daily Plan'!$A:$A,CI$1)</f>
        <v/>
      </c>
      <c r="CJ6" s="47">
        <f>SUMIFS('Daily Plan'!$H:$H,'Daily Plan'!$C:$C,$A6,'Daily Plan'!$A:$A,CJ$1)</f>
        <v/>
      </c>
      <c r="CK6" s="47">
        <f>SUMIFS('Daily Plan'!$H:$H,'Daily Plan'!$C:$C,$A6,'Daily Plan'!$A:$A,CK$1)</f>
        <v/>
      </c>
      <c r="CL6" s="47">
        <f>SUMIFS('Daily Plan'!$H:$H,'Daily Plan'!$C:$C,$A6,'Daily Plan'!$A:$A,CL$1)</f>
        <v/>
      </c>
      <c r="CM6" s="47">
        <f>SUMIFS('Daily Plan'!$H:$H,'Daily Plan'!$C:$C,$A6,'Daily Plan'!$A:$A,CM$1)</f>
        <v/>
      </c>
      <c r="CN6" s="47">
        <f>SUMIFS('Daily Plan'!$H:$H,'Daily Plan'!$C:$C,$A6,'Daily Plan'!$A:$A,CN$1)</f>
        <v/>
      </c>
      <c r="CO6" s="48">
        <f>SUMIFS('Daily Plan'!$H:$H,'Daily Plan'!$C:$C,$A6,'Daily Plan'!$A:$A,CO$1)</f>
        <v/>
      </c>
      <c r="CP6" s="48">
        <f>SUMIFS('Daily Plan'!$H:$H,'Daily Plan'!$C:$C,$A6,'Daily Plan'!$A:$A,CP$1)</f>
        <v/>
      </c>
      <c r="CQ6" s="47">
        <f>SUMIFS('Daily Plan'!$H:$H,'Daily Plan'!$C:$C,$A6,'Daily Plan'!$A:$A,CQ$1)</f>
        <v/>
      </c>
      <c r="CR6" s="47">
        <f>SUMIFS('Daily Plan'!$H:$H,'Daily Plan'!$C:$C,$A6,'Daily Plan'!$A:$A,CR$1)</f>
        <v/>
      </c>
      <c r="CS6" s="47">
        <f>SUMIFS('Daily Plan'!$H:$H,'Daily Plan'!$C:$C,$A6,'Daily Plan'!$A:$A,CS$1)</f>
        <v/>
      </c>
      <c r="CT6" s="47">
        <f>SUMIFS('Daily Plan'!$H:$H,'Daily Plan'!$C:$C,$A6,'Daily Plan'!$A:$A,CT$1)</f>
        <v/>
      </c>
      <c r="CU6" s="47">
        <f>SUMIFS('Daily Plan'!$H:$H,'Daily Plan'!$C:$C,$A6,'Daily Plan'!$A:$A,CU$1)</f>
        <v/>
      </c>
      <c r="CV6" s="48">
        <f>SUMIFS('Daily Plan'!$H:$H,'Daily Plan'!$C:$C,$A6,'Daily Plan'!$A:$A,CV$1)</f>
        <v/>
      </c>
      <c r="CW6" s="48">
        <f>SUMIFS('Daily Plan'!$H:$H,'Daily Plan'!$C:$C,$A6,'Daily Plan'!$A:$A,CW$1)</f>
        <v/>
      </c>
      <c r="CX6" s="47">
        <f>SUMIFS('Daily Plan'!$H:$H,'Daily Plan'!$C:$C,$A6,'Daily Plan'!$A:$A,CX$1)</f>
        <v/>
      </c>
      <c r="CY6" s="47">
        <f>SUMIFS('Daily Plan'!$H:$H,'Daily Plan'!$C:$C,$A6,'Daily Plan'!$A:$A,CY$1)</f>
        <v/>
      </c>
      <c r="CZ6" s="47">
        <f>SUMIFS('Daily Plan'!$H:$H,'Daily Plan'!$C:$C,$A6,'Daily Plan'!$A:$A,CZ$1)</f>
        <v/>
      </c>
      <c r="DA6" s="47">
        <f>SUMIFS('Daily Plan'!$H:$H,'Daily Plan'!$C:$C,$A6,'Daily Plan'!$A:$A,DA$1)</f>
        <v/>
      </c>
      <c r="DB6" s="47">
        <f>SUMIFS('Daily Plan'!$H:$H,'Daily Plan'!$C:$C,$A6,'Daily Plan'!$A:$A,DB$1)</f>
        <v/>
      </c>
      <c r="DC6" s="48">
        <f>SUMIFS('Daily Plan'!$H:$H,'Daily Plan'!$C:$C,$A6,'Daily Plan'!$A:$A,DC$1)</f>
        <v/>
      </c>
      <c r="DD6" s="48">
        <f>SUMIFS('Daily Plan'!$H:$H,'Daily Plan'!$C:$C,$A6,'Daily Plan'!$A:$A,DD$1)</f>
        <v/>
      </c>
      <c r="DE6" s="47">
        <f>SUMIFS('Daily Plan'!$H:$H,'Daily Plan'!$C:$C,$A6,'Daily Plan'!$A:$A,DE$1)</f>
        <v/>
      </c>
      <c r="DF6" s="47">
        <f>SUMIFS('Daily Plan'!$H:$H,'Daily Plan'!$C:$C,$A6,'Daily Plan'!$A:$A,DF$1)</f>
        <v/>
      </c>
      <c r="DG6" s="47">
        <f>SUMIFS('Daily Plan'!$H:$H,'Daily Plan'!$C:$C,$A6,'Daily Plan'!$A:$A,DG$1)</f>
        <v/>
      </c>
      <c r="DH6" s="47">
        <f>SUMIFS('Daily Plan'!$H:$H,'Daily Plan'!$C:$C,$A6,'Daily Plan'!$A:$A,DH$1)</f>
        <v/>
      </c>
      <c r="DI6" s="47">
        <f>SUMIFS('Daily Plan'!$H:$H,'Daily Plan'!$C:$C,$A6,'Daily Plan'!$A:$A,DI$1)</f>
        <v/>
      </c>
      <c r="DJ6" s="48">
        <f>SUMIFS('Daily Plan'!$H:$H,'Daily Plan'!$C:$C,$A6,'Daily Plan'!$A:$A,DJ$1)</f>
        <v/>
      </c>
      <c r="DK6" s="48">
        <f>SUMIFS('Daily Plan'!$H:$H,'Daily Plan'!$C:$C,$A6,'Daily Plan'!$A:$A,DK$1)</f>
        <v/>
      </c>
      <c r="DL6" s="47">
        <f>SUMIFS('Daily Plan'!$H:$H,'Daily Plan'!$C:$C,$A6,'Daily Plan'!$A:$A,DL$1)</f>
        <v/>
      </c>
      <c r="DM6" s="47">
        <f>SUMIFS('Daily Plan'!$H:$H,'Daily Plan'!$C:$C,$A6,'Daily Plan'!$A:$A,DM$1)</f>
        <v/>
      </c>
      <c r="DN6" s="47">
        <f>SUMIFS('Daily Plan'!$H:$H,'Daily Plan'!$C:$C,$A6,'Daily Plan'!$A:$A,DN$1)</f>
        <v/>
      </c>
      <c r="DO6" s="47">
        <f>SUMIFS('Daily Plan'!$H:$H,'Daily Plan'!$C:$C,$A6,'Daily Plan'!$A:$A,DO$1)</f>
        <v/>
      </c>
      <c r="DP6" s="47">
        <f>SUMIFS('Daily Plan'!$H:$H,'Daily Plan'!$C:$C,$A6,'Daily Plan'!$A:$A,DP$1)</f>
        <v/>
      </c>
      <c r="DQ6" s="48">
        <f>SUMIFS('Daily Plan'!$H:$H,'Daily Plan'!$C:$C,$A6,'Daily Plan'!$A:$A,DQ$1)</f>
        <v/>
      </c>
      <c r="DR6" s="48">
        <f>SUMIFS('Daily Plan'!$H:$H,'Daily Plan'!$C:$C,$A6,'Daily Plan'!$A:$A,DR$1)</f>
        <v/>
      </c>
      <c r="DS6" s="47">
        <f>SUMIFS('Daily Plan'!$H:$H,'Daily Plan'!$C:$C,$A6,'Daily Plan'!$A:$A,DS$1)</f>
        <v/>
      </c>
      <c r="DT6" s="47">
        <f>SUMIFS('Daily Plan'!$H:$H,'Daily Plan'!$C:$C,$A6,'Daily Plan'!$A:$A,DT$1)</f>
        <v/>
      </c>
      <c r="DU6" s="47">
        <f>SUMIFS('Daily Plan'!$H:$H,'Daily Plan'!$C:$C,$A6,'Daily Plan'!$A:$A,DU$1)</f>
        <v/>
      </c>
      <c r="DV6" s="47">
        <f>SUMIFS('Daily Plan'!$H:$H,'Daily Plan'!$C:$C,$A6,'Daily Plan'!$A:$A,DV$1)</f>
        <v/>
      </c>
      <c r="DW6" s="47">
        <f>SUMIFS('Daily Plan'!$H:$H,'Daily Plan'!$C:$C,$A6,'Daily Plan'!$A:$A,DW$1)</f>
        <v/>
      </c>
      <c r="DX6" s="48">
        <f>SUMIFS('Daily Plan'!$H:$H,'Daily Plan'!$C:$C,$A6,'Daily Plan'!$A:$A,DX$1)</f>
        <v/>
      </c>
      <c r="DY6" s="48">
        <f>SUMIFS('Daily Plan'!$H:$H,'Daily Plan'!$C:$C,$A6,'Daily Plan'!$A:$A,DY$1)</f>
        <v/>
      </c>
      <c r="DZ6" s="47">
        <f>SUMIFS('Daily Plan'!$H:$H,'Daily Plan'!$C:$C,$A6,'Daily Plan'!$A:$A,DZ$1)</f>
        <v/>
      </c>
      <c r="EA6" s="47">
        <f>SUMIFS('Daily Plan'!$H:$H,'Daily Plan'!$C:$C,$A6,'Daily Plan'!$A:$A,EA$1)</f>
        <v/>
      </c>
      <c r="EB6" s="47">
        <f>SUMIFS('Daily Plan'!$H:$H,'Daily Plan'!$C:$C,$A6,'Daily Plan'!$A:$A,EB$1)</f>
        <v/>
      </c>
      <c r="EC6" s="47">
        <f>SUMIFS('Daily Plan'!$H:$H,'Daily Plan'!$C:$C,$A6,'Daily Plan'!$A:$A,EC$1)</f>
        <v/>
      </c>
      <c r="ED6" s="47">
        <f>SUMIFS('Daily Plan'!$H:$H,'Daily Plan'!$C:$C,$A6,'Daily Plan'!$A:$A,ED$1)</f>
        <v/>
      </c>
      <c r="EE6" s="48">
        <f>SUMIFS('Daily Plan'!$H:$H,'Daily Plan'!$C:$C,$A6,'Daily Plan'!$A:$A,EE$1)</f>
        <v/>
      </c>
      <c r="EF6" s="48">
        <f>SUMIFS('Daily Plan'!$H:$H,'Daily Plan'!$C:$C,$A6,'Daily Plan'!$A:$A,EF$1)</f>
        <v/>
      </c>
      <c r="EG6" s="47">
        <f>SUMIFS('Daily Plan'!$H:$H,'Daily Plan'!$C:$C,$A6,'Daily Plan'!$A:$A,EG$1)</f>
        <v/>
      </c>
      <c r="EH6" s="47">
        <f>SUMIFS('Daily Plan'!$H:$H,'Daily Plan'!$C:$C,$A6,'Daily Plan'!$A:$A,EH$1)</f>
        <v/>
      </c>
      <c r="EI6" s="47">
        <f>SUMIFS('Daily Plan'!$H:$H,'Daily Plan'!$C:$C,$A6,'Daily Plan'!$A:$A,EI$1)</f>
        <v/>
      </c>
      <c r="EJ6" s="47">
        <f>SUMIFS('Daily Plan'!$H:$H,'Daily Plan'!$C:$C,$A6,'Daily Plan'!$A:$A,EJ$1)</f>
        <v/>
      </c>
      <c r="EK6" s="47">
        <f>SUMIFS('Daily Plan'!$H:$H,'Daily Plan'!$C:$C,$A6,'Daily Plan'!$A:$A,EK$1)</f>
        <v/>
      </c>
      <c r="EL6" s="48">
        <f>SUMIFS('Daily Plan'!$H:$H,'Daily Plan'!$C:$C,$A6,'Daily Plan'!$A:$A,EL$1)</f>
        <v/>
      </c>
      <c r="EM6" s="48">
        <f>SUMIFS('Daily Plan'!$H:$H,'Daily Plan'!$C:$C,$A6,'Daily Plan'!$A:$A,EM$1)</f>
        <v/>
      </c>
      <c r="EN6" s="47">
        <f>SUMIFS('Daily Plan'!$H:$H,'Daily Plan'!$C:$C,$A6,'Daily Plan'!$A:$A,EN$1)</f>
        <v/>
      </c>
      <c r="EO6" s="47">
        <f>SUMIFS('Daily Plan'!$H:$H,'Daily Plan'!$C:$C,$A6,'Daily Plan'!$A:$A,EO$1)</f>
        <v/>
      </c>
      <c r="EP6" s="47">
        <f>SUMIFS('Daily Plan'!$H:$H,'Daily Plan'!$C:$C,$A6,'Daily Plan'!$A:$A,EP$1)</f>
        <v/>
      </c>
      <c r="EQ6" s="47">
        <f>SUMIFS('Daily Plan'!$H:$H,'Daily Plan'!$C:$C,$A6,'Daily Plan'!$A:$A,EQ$1)</f>
        <v/>
      </c>
      <c r="ER6" s="47">
        <f>SUMIFS('Daily Plan'!$H:$H,'Daily Plan'!$C:$C,$A6,'Daily Plan'!$A:$A,ER$1)</f>
        <v/>
      </c>
      <c r="ES6" s="48">
        <f>SUMIFS('Daily Plan'!$H:$H,'Daily Plan'!$C:$C,$A6,'Daily Plan'!$A:$A,ES$1)</f>
        <v/>
      </c>
      <c r="ET6" s="48">
        <f>SUMIFS('Daily Plan'!$H:$H,'Daily Plan'!$C:$C,$A6,'Daily Plan'!$A:$A,ET$1)</f>
        <v/>
      </c>
      <c r="EU6" s="47">
        <f>SUMIFS('Daily Plan'!$H:$H,'Daily Plan'!$C:$C,$A6,'Daily Plan'!$A:$A,EU$1)</f>
        <v/>
      </c>
      <c r="EV6" s="47">
        <f>SUMIFS('Daily Plan'!$H:$H,'Daily Plan'!$C:$C,$A6,'Daily Plan'!$A:$A,EV$1)</f>
        <v/>
      </c>
      <c r="EW6" s="47">
        <f>SUMIFS('Daily Plan'!$H:$H,'Daily Plan'!$C:$C,$A6,'Daily Plan'!$A:$A,EW$1)</f>
        <v/>
      </c>
      <c r="EX6" s="47">
        <f>SUMIFS('Daily Plan'!$H:$H,'Daily Plan'!$C:$C,$A6,'Daily Plan'!$A:$A,EX$1)</f>
        <v/>
      </c>
      <c r="EY6" s="47">
        <f>SUMIFS('Daily Plan'!$H:$H,'Daily Plan'!$C:$C,$A6,'Daily Plan'!$A:$A,EY$1)</f>
        <v/>
      </c>
      <c r="EZ6" s="48">
        <f>SUMIFS('Daily Plan'!$H:$H,'Daily Plan'!$C:$C,$A6,'Daily Plan'!$A:$A,EZ$1)</f>
        <v/>
      </c>
      <c r="FA6" s="48">
        <f>SUMIFS('Daily Plan'!$H:$H,'Daily Plan'!$C:$C,$A6,'Daily Plan'!$A:$A,FA$1)</f>
        <v/>
      </c>
      <c r="FB6" s="47">
        <f>SUMIFS('Daily Plan'!$H:$H,'Daily Plan'!$C:$C,$A6,'Daily Plan'!$A:$A,FB$1)</f>
        <v/>
      </c>
      <c r="FC6" s="47">
        <f>SUMIFS('Daily Plan'!$H:$H,'Daily Plan'!$C:$C,$A6,'Daily Plan'!$A:$A,FC$1)</f>
        <v/>
      </c>
      <c r="FD6" s="47">
        <f>SUMIFS('Daily Plan'!$H:$H,'Daily Plan'!$C:$C,$A6,'Daily Plan'!$A:$A,FD$1)</f>
        <v/>
      </c>
      <c r="FE6" s="47">
        <f>SUMIFS('Daily Plan'!$H:$H,'Daily Plan'!$C:$C,$A6,'Daily Plan'!$A:$A,FE$1)</f>
        <v/>
      </c>
      <c r="FF6" s="47">
        <f>SUMIFS('Daily Plan'!$H:$H,'Daily Plan'!$C:$C,$A6,'Daily Plan'!$A:$A,FF$1)</f>
        <v/>
      </c>
      <c r="FG6" s="48">
        <f>SUMIFS('Daily Plan'!$H:$H,'Daily Plan'!$C:$C,$A6,'Daily Plan'!$A:$A,FG$1)</f>
        <v/>
      </c>
      <c r="FH6" s="48">
        <f>SUMIFS('Daily Plan'!$H:$H,'Daily Plan'!$C:$C,$A6,'Daily Plan'!$A:$A,FH$1)</f>
        <v/>
      </c>
      <c r="FI6" s="47">
        <f>SUMIFS('Daily Plan'!$H:$H,'Daily Plan'!$C:$C,$A6,'Daily Plan'!$A:$A,FI$1)</f>
        <v/>
      </c>
      <c r="FJ6" s="47">
        <f>SUMIFS('Daily Plan'!$H:$H,'Daily Plan'!$C:$C,$A6,'Daily Plan'!$A:$A,FJ$1)</f>
        <v/>
      </c>
      <c r="FK6" s="47">
        <f>SUMIFS('Daily Plan'!$H:$H,'Daily Plan'!$C:$C,$A6,'Daily Plan'!$A:$A,FK$1)</f>
        <v/>
      </c>
      <c r="FL6" s="47">
        <f>SUMIFS('Daily Plan'!$H:$H,'Daily Plan'!$C:$C,$A6,'Daily Plan'!$A:$A,FL$1)</f>
        <v/>
      </c>
      <c r="FM6" s="47">
        <f>SUMIFS('Daily Plan'!$H:$H,'Daily Plan'!$C:$C,$A6,'Daily Plan'!$A:$A,FM$1)</f>
        <v/>
      </c>
      <c r="FN6" s="48">
        <f>SUMIFS('Daily Plan'!$H:$H,'Daily Plan'!$C:$C,$A6,'Daily Plan'!$A:$A,FN$1)</f>
        <v/>
      </c>
      <c r="FO6" s="48">
        <f>SUMIFS('Daily Plan'!$H:$H,'Daily Plan'!$C:$C,$A6,'Daily Plan'!$A:$A,FO$1)</f>
        <v/>
      </c>
      <c r="FP6" s="47">
        <f>SUMIFS('Daily Plan'!$H:$H,'Daily Plan'!$C:$C,$A6,'Daily Plan'!$A:$A,FP$1)</f>
        <v/>
      </c>
      <c r="FQ6" s="47">
        <f>SUMIFS('Daily Plan'!$H:$H,'Daily Plan'!$C:$C,$A6,'Daily Plan'!$A:$A,FQ$1)</f>
        <v/>
      </c>
      <c r="FR6" s="47">
        <f>SUMIFS('Daily Plan'!$H:$H,'Daily Plan'!$C:$C,$A6,'Daily Plan'!$A:$A,FR$1)</f>
        <v/>
      </c>
      <c r="FS6" s="47">
        <f>SUMIFS('Daily Plan'!$H:$H,'Daily Plan'!$C:$C,$A6,'Daily Plan'!$A:$A,FS$1)</f>
        <v/>
      </c>
    </row>
    <row r="7">
      <c r="A7" s="23" t="inlineStr">
        <is>
          <t>VAL-1</t>
        </is>
      </c>
      <c r="B7" s="23" t="inlineStr">
        <is>
          <t>校验</t>
        </is>
      </c>
      <c r="C7" s="2" t="inlineStr">
        <is>
          <t>输入数据校验</t>
        </is>
      </c>
      <c r="D7" s="43" t="n">
        <v>46209</v>
      </c>
      <c r="E7" s="43" t="n">
        <v>46213</v>
      </c>
      <c r="F7" s="23" t="inlineStr">
        <is>
          <t>pending</t>
        </is>
      </c>
      <c r="G7" s="44">
        <f>SUMIF('Daily Plan'!$C:$C,A7,'Daily Plan'!$H:$H)</f>
        <v/>
      </c>
      <c r="H7" s="44">
        <f>SUMIF('Daily Plan'!$C:$C,A7,'Daily Plan'!$I:$I)</f>
        <v/>
      </c>
      <c r="I7" s="44">
        <f>MAX(G7-H7,0)</f>
        <v/>
      </c>
      <c r="J7" s="25">
        <f>IF(G7=0,IF(F7="done",1,0),H7/G7)</f>
        <v/>
      </c>
      <c r="K7" s="2" t="inlineStr">
        <is>
          <t>P0</t>
        </is>
      </c>
      <c r="L7" s="2" t="inlineStr">
        <is>
          <t>bad data 可被准确拦截</t>
        </is>
      </c>
      <c r="M7" s="47">
        <f>SUMIFS('Daily Plan'!$H:$H,'Daily Plan'!$C:$C,$A7,'Daily Plan'!$A:$A,M$1)</f>
        <v/>
      </c>
      <c r="N7" s="47">
        <f>SUMIFS('Daily Plan'!$H:$H,'Daily Plan'!$C:$C,$A7,'Daily Plan'!$A:$A,N$1)</f>
        <v/>
      </c>
      <c r="O7" s="47">
        <f>SUMIFS('Daily Plan'!$H:$H,'Daily Plan'!$C:$C,$A7,'Daily Plan'!$A:$A,O$1)</f>
        <v/>
      </c>
      <c r="P7" s="48">
        <f>SUMIFS('Daily Plan'!$H:$H,'Daily Plan'!$C:$C,$A7,'Daily Plan'!$A:$A,P$1)</f>
        <v/>
      </c>
      <c r="Q7" s="48">
        <f>SUMIFS('Daily Plan'!$H:$H,'Daily Plan'!$C:$C,$A7,'Daily Plan'!$A:$A,Q$1)</f>
        <v/>
      </c>
      <c r="R7" s="47">
        <f>SUMIFS('Daily Plan'!$H:$H,'Daily Plan'!$C:$C,$A7,'Daily Plan'!$A:$A,R$1)</f>
        <v/>
      </c>
      <c r="S7" s="47">
        <f>SUMIFS('Daily Plan'!$H:$H,'Daily Plan'!$C:$C,$A7,'Daily Plan'!$A:$A,S$1)</f>
        <v/>
      </c>
      <c r="T7" s="47">
        <f>SUMIFS('Daily Plan'!$H:$H,'Daily Plan'!$C:$C,$A7,'Daily Plan'!$A:$A,T$1)</f>
        <v/>
      </c>
      <c r="U7" s="47">
        <f>SUMIFS('Daily Plan'!$H:$H,'Daily Plan'!$C:$C,$A7,'Daily Plan'!$A:$A,U$1)</f>
        <v/>
      </c>
      <c r="V7" s="47">
        <f>SUMIFS('Daily Plan'!$H:$H,'Daily Plan'!$C:$C,$A7,'Daily Plan'!$A:$A,V$1)</f>
        <v/>
      </c>
      <c r="W7" s="48">
        <f>SUMIFS('Daily Plan'!$H:$H,'Daily Plan'!$C:$C,$A7,'Daily Plan'!$A:$A,W$1)</f>
        <v/>
      </c>
      <c r="X7" s="48">
        <f>SUMIFS('Daily Plan'!$H:$H,'Daily Plan'!$C:$C,$A7,'Daily Plan'!$A:$A,X$1)</f>
        <v/>
      </c>
      <c r="Y7" s="47">
        <f>SUMIFS('Daily Plan'!$H:$H,'Daily Plan'!$C:$C,$A7,'Daily Plan'!$A:$A,Y$1)</f>
        <v/>
      </c>
      <c r="Z7" s="47">
        <f>SUMIFS('Daily Plan'!$H:$H,'Daily Plan'!$C:$C,$A7,'Daily Plan'!$A:$A,Z$1)</f>
        <v/>
      </c>
      <c r="AA7" s="47">
        <f>SUMIFS('Daily Plan'!$H:$H,'Daily Plan'!$C:$C,$A7,'Daily Plan'!$A:$A,AA$1)</f>
        <v/>
      </c>
      <c r="AB7" s="47">
        <f>SUMIFS('Daily Plan'!$H:$H,'Daily Plan'!$C:$C,$A7,'Daily Plan'!$A:$A,AB$1)</f>
        <v/>
      </c>
      <c r="AC7" s="47">
        <f>SUMIFS('Daily Plan'!$H:$H,'Daily Plan'!$C:$C,$A7,'Daily Plan'!$A:$A,AC$1)</f>
        <v/>
      </c>
      <c r="AD7" s="48">
        <f>SUMIFS('Daily Plan'!$H:$H,'Daily Plan'!$C:$C,$A7,'Daily Plan'!$A:$A,AD$1)</f>
        <v/>
      </c>
      <c r="AE7" s="48">
        <f>SUMIFS('Daily Plan'!$H:$H,'Daily Plan'!$C:$C,$A7,'Daily Plan'!$A:$A,AE$1)</f>
        <v/>
      </c>
      <c r="AF7" s="47">
        <f>SUMIFS('Daily Plan'!$H:$H,'Daily Plan'!$C:$C,$A7,'Daily Plan'!$A:$A,AF$1)</f>
        <v/>
      </c>
      <c r="AG7" s="47">
        <f>SUMIFS('Daily Plan'!$H:$H,'Daily Plan'!$C:$C,$A7,'Daily Plan'!$A:$A,AG$1)</f>
        <v/>
      </c>
      <c r="AH7" s="47">
        <f>SUMIFS('Daily Plan'!$H:$H,'Daily Plan'!$C:$C,$A7,'Daily Plan'!$A:$A,AH$1)</f>
        <v/>
      </c>
      <c r="AI7" s="47">
        <f>SUMIFS('Daily Plan'!$H:$H,'Daily Plan'!$C:$C,$A7,'Daily Plan'!$A:$A,AI$1)</f>
        <v/>
      </c>
      <c r="AJ7" s="47">
        <f>SUMIFS('Daily Plan'!$H:$H,'Daily Plan'!$C:$C,$A7,'Daily Plan'!$A:$A,AJ$1)</f>
        <v/>
      </c>
      <c r="AK7" s="48">
        <f>SUMIFS('Daily Plan'!$H:$H,'Daily Plan'!$C:$C,$A7,'Daily Plan'!$A:$A,AK$1)</f>
        <v/>
      </c>
      <c r="AL7" s="48">
        <f>SUMIFS('Daily Plan'!$H:$H,'Daily Plan'!$C:$C,$A7,'Daily Plan'!$A:$A,AL$1)</f>
        <v/>
      </c>
      <c r="AM7" s="47">
        <f>SUMIFS('Daily Plan'!$H:$H,'Daily Plan'!$C:$C,$A7,'Daily Plan'!$A:$A,AM$1)</f>
        <v/>
      </c>
      <c r="AN7" s="47">
        <f>SUMIFS('Daily Plan'!$H:$H,'Daily Plan'!$C:$C,$A7,'Daily Plan'!$A:$A,AN$1)</f>
        <v/>
      </c>
      <c r="AO7" s="47">
        <f>SUMIFS('Daily Plan'!$H:$H,'Daily Plan'!$C:$C,$A7,'Daily Plan'!$A:$A,AO$1)</f>
        <v/>
      </c>
      <c r="AP7" s="47">
        <f>SUMIFS('Daily Plan'!$H:$H,'Daily Plan'!$C:$C,$A7,'Daily Plan'!$A:$A,AP$1)</f>
        <v/>
      </c>
      <c r="AQ7" s="47">
        <f>SUMIFS('Daily Plan'!$H:$H,'Daily Plan'!$C:$C,$A7,'Daily Plan'!$A:$A,AQ$1)</f>
        <v/>
      </c>
      <c r="AR7" s="48">
        <f>SUMIFS('Daily Plan'!$H:$H,'Daily Plan'!$C:$C,$A7,'Daily Plan'!$A:$A,AR$1)</f>
        <v/>
      </c>
      <c r="AS7" s="48">
        <f>SUMIFS('Daily Plan'!$H:$H,'Daily Plan'!$C:$C,$A7,'Daily Plan'!$A:$A,AS$1)</f>
        <v/>
      </c>
      <c r="AT7" s="47">
        <f>SUMIFS('Daily Plan'!$H:$H,'Daily Plan'!$C:$C,$A7,'Daily Plan'!$A:$A,AT$1)</f>
        <v/>
      </c>
      <c r="AU7" s="47">
        <f>SUMIFS('Daily Plan'!$H:$H,'Daily Plan'!$C:$C,$A7,'Daily Plan'!$A:$A,AU$1)</f>
        <v/>
      </c>
      <c r="AV7" s="47">
        <f>SUMIFS('Daily Plan'!$H:$H,'Daily Plan'!$C:$C,$A7,'Daily Plan'!$A:$A,AV$1)</f>
        <v/>
      </c>
      <c r="AW7" s="47">
        <f>SUMIFS('Daily Plan'!$H:$H,'Daily Plan'!$C:$C,$A7,'Daily Plan'!$A:$A,AW$1)</f>
        <v/>
      </c>
      <c r="AX7" s="47">
        <f>SUMIFS('Daily Plan'!$H:$H,'Daily Plan'!$C:$C,$A7,'Daily Plan'!$A:$A,AX$1)</f>
        <v/>
      </c>
      <c r="AY7" s="48">
        <f>SUMIFS('Daily Plan'!$H:$H,'Daily Plan'!$C:$C,$A7,'Daily Plan'!$A:$A,AY$1)</f>
        <v/>
      </c>
      <c r="AZ7" s="48">
        <f>SUMIFS('Daily Plan'!$H:$H,'Daily Plan'!$C:$C,$A7,'Daily Plan'!$A:$A,AZ$1)</f>
        <v/>
      </c>
      <c r="BA7" s="47">
        <f>SUMIFS('Daily Plan'!$H:$H,'Daily Plan'!$C:$C,$A7,'Daily Plan'!$A:$A,BA$1)</f>
        <v/>
      </c>
      <c r="BB7" s="47">
        <f>SUMIFS('Daily Plan'!$H:$H,'Daily Plan'!$C:$C,$A7,'Daily Plan'!$A:$A,BB$1)</f>
        <v/>
      </c>
      <c r="BC7" s="47">
        <f>SUMIFS('Daily Plan'!$H:$H,'Daily Plan'!$C:$C,$A7,'Daily Plan'!$A:$A,BC$1)</f>
        <v/>
      </c>
      <c r="BD7" s="47">
        <f>SUMIFS('Daily Plan'!$H:$H,'Daily Plan'!$C:$C,$A7,'Daily Plan'!$A:$A,BD$1)</f>
        <v/>
      </c>
      <c r="BE7" s="47">
        <f>SUMIFS('Daily Plan'!$H:$H,'Daily Plan'!$C:$C,$A7,'Daily Plan'!$A:$A,BE$1)</f>
        <v/>
      </c>
      <c r="BF7" s="48">
        <f>SUMIFS('Daily Plan'!$H:$H,'Daily Plan'!$C:$C,$A7,'Daily Plan'!$A:$A,BF$1)</f>
        <v/>
      </c>
      <c r="BG7" s="48">
        <f>SUMIFS('Daily Plan'!$H:$H,'Daily Plan'!$C:$C,$A7,'Daily Plan'!$A:$A,BG$1)</f>
        <v/>
      </c>
      <c r="BH7" s="47">
        <f>SUMIFS('Daily Plan'!$H:$H,'Daily Plan'!$C:$C,$A7,'Daily Plan'!$A:$A,BH$1)</f>
        <v/>
      </c>
      <c r="BI7" s="47">
        <f>SUMIFS('Daily Plan'!$H:$H,'Daily Plan'!$C:$C,$A7,'Daily Plan'!$A:$A,BI$1)</f>
        <v/>
      </c>
      <c r="BJ7" s="47">
        <f>SUMIFS('Daily Plan'!$H:$H,'Daily Plan'!$C:$C,$A7,'Daily Plan'!$A:$A,BJ$1)</f>
        <v/>
      </c>
      <c r="BK7" s="47">
        <f>SUMIFS('Daily Plan'!$H:$H,'Daily Plan'!$C:$C,$A7,'Daily Plan'!$A:$A,BK$1)</f>
        <v/>
      </c>
      <c r="BL7" s="47">
        <f>SUMIFS('Daily Plan'!$H:$H,'Daily Plan'!$C:$C,$A7,'Daily Plan'!$A:$A,BL$1)</f>
        <v/>
      </c>
      <c r="BM7" s="48">
        <f>SUMIFS('Daily Plan'!$H:$H,'Daily Plan'!$C:$C,$A7,'Daily Plan'!$A:$A,BM$1)</f>
        <v/>
      </c>
      <c r="BN7" s="48">
        <f>SUMIFS('Daily Plan'!$H:$H,'Daily Plan'!$C:$C,$A7,'Daily Plan'!$A:$A,BN$1)</f>
        <v/>
      </c>
      <c r="BO7" s="47">
        <f>SUMIFS('Daily Plan'!$H:$H,'Daily Plan'!$C:$C,$A7,'Daily Plan'!$A:$A,BO$1)</f>
        <v/>
      </c>
      <c r="BP7" s="47">
        <f>SUMIFS('Daily Plan'!$H:$H,'Daily Plan'!$C:$C,$A7,'Daily Plan'!$A:$A,BP$1)</f>
        <v/>
      </c>
      <c r="BQ7" s="47">
        <f>SUMIFS('Daily Plan'!$H:$H,'Daily Plan'!$C:$C,$A7,'Daily Plan'!$A:$A,BQ$1)</f>
        <v/>
      </c>
      <c r="BR7" s="47">
        <f>SUMIFS('Daily Plan'!$H:$H,'Daily Plan'!$C:$C,$A7,'Daily Plan'!$A:$A,BR$1)</f>
        <v/>
      </c>
      <c r="BS7" s="47">
        <f>SUMIFS('Daily Plan'!$H:$H,'Daily Plan'!$C:$C,$A7,'Daily Plan'!$A:$A,BS$1)</f>
        <v/>
      </c>
      <c r="BT7" s="48">
        <f>SUMIFS('Daily Plan'!$H:$H,'Daily Plan'!$C:$C,$A7,'Daily Plan'!$A:$A,BT$1)</f>
        <v/>
      </c>
      <c r="BU7" s="48">
        <f>SUMIFS('Daily Plan'!$H:$H,'Daily Plan'!$C:$C,$A7,'Daily Plan'!$A:$A,BU$1)</f>
        <v/>
      </c>
      <c r="BV7" s="47">
        <f>SUMIFS('Daily Plan'!$H:$H,'Daily Plan'!$C:$C,$A7,'Daily Plan'!$A:$A,BV$1)</f>
        <v/>
      </c>
      <c r="BW7" s="47">
        <f>SUMIFS('Daily Plan'!$H:$H,'Daily Plan'!$C:$C,$A7,'Daily Plan'!$A:$A,BW$1)</f>
        <v/>
      </c>
      <c r="BX7" s="47">
        <f>SUMIFS('Daily Plan'!$H:$H,'Daily Plan'!$C:$C,$A7,'Daily Plan'!$A:$A,BX$1)</f>
        <v/>
      </c>
      <c r="BY7" s="47">
        <f>SUMIFS('Daily Plan'!$H:$H,'Daily Plan'!$C:$C,$A7,'Daily Plan'!$A:$A,BY$1)</f>
        <v/>
      </c>
      <c r="BZ7" s="47">
        <f>SUMIFS('Daily Plan'!$H:$H,'Daily Plan'!$C:$C,$A7,'Daily Plan'!$A:$A,BZ$1)</f>
        <v/>
      </c>
      <c r="CA7" s="48">
        <f>SUMIFS('Daily Plan'!$H:$H,'Daily Plan'!$C:$C,$A7,'Daily Plan'!$A:$A,CA$1)</f>
        <v/>
      </c>
      <c r="CB7" s="48">
        <f>SUMIFS('Daily Plan'!$H:$H,'Daily Plan'!$C:$C,$A7,'Daily Plan'!$A:$A,CB$1)</f>
        <v/>
      </c>
      <c r="CC7" s="47">
        <f>SUMIFS('Daily Plan'!$H:$H,'Daily Plan'!$C:$C,$A7,'Daily Plan'!$A:$A,CC$1)</f>
        <v/>
      </c>
      <c r="CD7" s="47">
        <f>SUMIFS('Daily Plan'!$H:$H,'Daily Plan'!$C:$C,$A7,'Daily Plan'!$A:$A,CD$1)</f>
        <v/>
      </c>
      <c r="CE7" s="47">
        <f>SUMIFS('Daily Plan'!$H:$H,'Daily Plan'!$C:$C,$A7,'Daily Plan'!$A:$A,CE$1)</f>
        <v/>
      </c>
      <c r="CF7" s="47">
        <f>SUMIFS('Daily Plan'!$H:$H,'Daily Plan'!$C:$C,$A7,'Daily Plan'!$A:$A,CF$1)</f>
        <v/>
      </c>
      <c r="CG7" s="47">
        <f>SUMIFS('Daily Plan'!$H:$H,'Daily Plan'!$C:$C,$A7,'Daily Plan'!$A:$A,CG$1)</f>
        <v/>
      </c>
      <c r="CH7" s="48">
        <f>SUMIFS('Daily Plan'!$H:$H,'Daily Plan'!$C:$C,$A7,'Daily Plan'!$A:$A,CH$1)</f>
        <v/>
      </c>
      <c r="CI7" s="48">
        <f>SUMIFS('Daily Plan'!$H:$H,'Daily Plan'!$C:$C,$A7,'Daily Plan'!$A:$A,CI$1)</f>
        <v/>
      </c>
      <c r="CJ7" s="47">
        <f>SUMIFS('Daily Plan'!$H:$H,'Daily Plan'!$C:$C,$A7,'Daily Plan'!$A:$A,CJ$1)</f>
        <v/>
      </c>
      <c r="CK7" s="47">
        <f>SUMIFS('Daily Plan'!$H:$H,'Daily Plan'!$C:$C,$A7,'Daily Plan'!$A:$A,CK$1)</f>
        <v/>
      </c>
      <c r="CL7" s="47">
        <f>SUMIFS('Daily Plan'!$H:$H,'Daily Plan'!$C:$C,$A7,'Daily Plan'!$A:$A,CL$1)</f>
        <v/>
      </c>
      <c r="CM7" s="47">
        <f>SUMIFS('Daily Plan'!$H:$H,'Daily Plan'!$C:$C,$A7,'Daily Plan'!$A:$A,CM$1)</f>
        <v/>
      </c>
      <c r="CN7" s="47">
        <f>SUMIFS('Daily Plan'!$H:$H,'Daily Plan'!$C:$C,$A7,'Daily Plan'!$A:$A,CN$1)</f>
        <v/>
      </c>
      <c r="CO7" s="48">
        <f>SUMIFS('Daily Plan'!$H:$H,'Daily Plan'!$C:$C,$A7,'Daily Plan'!$A:$A,CO$1)</f>
        <v/>
      </c>
      <c r="CP7" s="48">
        <f>SUMIFS('Daily Plan'!$H:$H,'Daily Plan'!$C:$C,$A7,'Daily Plan'!$A:$A,CP$1)</f>
        <v/>
      </c>
      <c r="CQ7" s="47">
        <f>SUMIFS('Daily Plan'!$H:$H,'Daily Plan'!$C:$C,$A7,'Daily Plan'!$A:$A,CQ$1)</f>
        <v/>
      </c>
      <c r="CR7" s="47">
        <f>SUMIFS('Daily Plan'!$H:$H,'Daily Plan'!$C:$C,$A7,'Daily Plan'!$A:$A,CR$1)</f>
        <v/>
      </c>
      <c r="CS7" s="47">
        <f>SUMIFS('Daily Plan'!$H:$H,'Daily Plan'!$C:$C,$A7,'Daily Plan'!$A:$A,CS$1)</f>
        <v/>
      </c>
      <c r="CT7" s="47">
        <f>SUMIFS('Daily Plan'!$H:$H,'Daily Plan'!$C:$C,$A7,'Daily Plan'!$A:$A,CT$1)</f>
        <v/>
      </c>
      <c r="CU7" s="47">
        <f>SUMIFS('Daily Plan'!$H:$H,'Daily Plan'!$C:$C,$A7,'Daily Plan'!$A:$A,CU$1)</f>
        <v/>
      </c>
      <c r="CV7" s="48">
        <f>SUMIFS('Daily Plan'!$H:$H,'Daily Plan'!$C:$C,$A7,'Daily Plan'!$A:$A,CV$1)</f>
        <v/>
      </c>
      <c r="CW7" s="48">
        <f>SUMIFS('Daily Plan'!$H:$H,'Daily Plan'!$C:$C,$A7,'Daily Plan'!$A:$A,CW$1)</f>
        <v/>
      </c>
      <c r="CX7" s="47">
        <f>SUMIFS('Daily Plan'!$H:$H,'Daily Plan'!$C:$C,$A7,'Daily Plan'!$A:$A,CX$1)</f>
        <v/>
      </c>
      <c r="CY7" s="47">
        <f>SUMIFS('Daily Plan'!$H:$H,'Daily Plan'!$C:$C,$A7,'Daily Plan'!$A:$A,CY$1)</f>
        <v/>
      </c>
      <c r="CZ7" s="47">
        <f>SUMIFS('Daily Plan'!$H:$H,'Daily Plan'!$C:$C,$A7,'Daily Plan'!$A:$A,CZ$1)</f>
        <v/>
      </c>
      <c r="DA7" s="47">
        <f>SUMIFS('Daily Plan'!$H:$H,'Daily Plan'!$C:$C,$A7,'Daily Plan'!$A:$A,DA$1)</f>
        <v/>
      </c>
      <c r="DB7" s="47">
        <f>SUMIFS('Daily Plan'!$H:$H,'Daily Plan'!$C:$C,$A7,'Daily Plan'!$A:$A,DB$1)</f>
        <v/>
      </c>
      <c r="DC7" s="48">
        <f>SUMIFS('Daily Plan'!$H:$H,'Daily Plan'!$C:$C,$A7,'Daily Plan'!$A:$A,DC$1)</f>
        <v/>
      </c>
      <c r="DD7" s="48">
        <f>SUMIFS('Daily Plan'!$H:$H,'Daily Plan'!$C:$C,$A7,'Daily Plan'!$A:$A,DD$1)</f>
        <v/>
      </c>
      <c r="DE7" s="47">
        <f>SUMIFS('Daily Plan'!$H:$H,'Daily Plan'!$C:$C,$A7,'Daily Plan'!$A:$A,DE$1)</f>
        <v/>
      </c>
      <c r="DF7" s="47">
        <f>SUMIFS('Daily Plan'!$H:$H,'Daily Plan'!$C:$C,$A7,'Daily Plan'!$A:$A,DF$1)</f>
        <v/>
      </c>
      <c r="DG7" s="47">
        <f>SUMIFS('Daily Plan'!$H:$H,'Daily Plan'!$C:$C,$A7,'Daily Plan'!$A:$A,DG$1)</f>
        <v/>
      </c>
      <c r="DH7" s="47">
        <f>SUMIFS('Daily Plan'!$H:$H,'Daily Plan'!$C:$C,$A7,'Daily Plan'!$A:$A,DH$1)</f>
        <v/>
      </c>
      <c r="DI7" s="47">
        <f>SUMIFS('Daily Plan'!$H:$H,'Daily Plan'!$C:$C,$A7,'Daily Plan'!$A:$A,DI$1)</f>
        <v/>
      </c>
      <c r="DJ7" s="48">
        <f>SUMIFS('Daily Plan'!$H:$H,'Daily Plan'!$C:$C,$A7,'Daily Plan'!$A:$A,DJ$1)</f>
        <v/>
      </c>
      <c r="DK7" s="48">
        <f>SUMIFS('Daily Plan'!$H:$H,'Daily Plan'!$C:$C,$A7,'Daily Plan'!$A:$A,DK$1)</f>
        <v/>
      </c>
      <c r="DL7" s="47">
        <f>SUMIFS('Daily Plan'!$H:$H,'Daily Plan'!$C:$C,$A7,'Daily Plan'!$A:$A,DL$1)</f>
        <v/>
      </c>
      <c r="DM7" s="47">
        <f>SUMIFS('Daily Plan'!$H:$H,'Daily Plan'!$C:$C,$A7,'Daily Plan'!$A:$A,DM$1)</f>
        <v/>
      </c>
      <c r="DN7" s="47">
        <f>SUMIFS('Daily Plan'!$H:$H,'Daily Plan'!$C:$C,$A7,'Daily Plan'!$A:$A,DN$1)</f>
        <v/>
      </c>
      <c r="DO7" s="47">
        <f>SUMIFS('Daily Plan'!$H:$H,'Daily Plan'!$C:$C,$A7,'Daily Plan'!$A:$A,DO$1)</f>
        <v/>
      </c>
      <c r="DP7" s="47">
        <f>SUMIFS('Daily Plan'!$H:$H,'Daily Plan'!$C:$C,$A7,'Daily Plan'!$A:$A,DP$1)</f>
        <v/>
      </c>
      <c r="DQ7" s="48">
        <f>SUMIFS('Daily Plan'!$H:$H,'Daily Plan'!$C:$C,$A7,'Daily Plan'!$A:$A,DQ$1)</f>
        <v/>
      </c>
      <c r="DR7" s="48">
        <f>SUMIFS('Daily Plan'!$H:$H,'Daily Plan'!$C:$C,$A7,'Daily Plan'!$A:$A,DR$1)</f>
        <v/>
      </c>
      <c r="DS7" s="47">
        <f>SUMIFS('Daily Plan'!$H:$H,'Daily Plan'!$C:$C,$A7,'Daily Plan'!$A:$A,DS$1)</f>
        <v/>
      </c>
      <c r="DT7" s="47">
        <f>SUMIFS('Daily Plan'!$H:$H,'Daily Plan'!$C:$C,$A7,'Daily Plan'!$A:$A,DT$1)</f>
        <v/>
      </c>
      <c r="DU7" s="47">
        <f>SUMIFS('Daily Plan'!$H:$H,'Daily Plan'!$C:$C,$A7,'Daily Plan'!$A:$A,DU$1)</f>
        <v/>
      </c>
      <c r="DV7" s="47">
        <f>SUMIFS('Daily Plan'!$H:$H,'Daily Plan'!$C:$C,$A7,'Daily Plan'!$A:$A,DV$1)</f>
        <v/>
      </c>
      <c r="DW7" s="47">
        <f>SUMIFS('Daily Plan'!$H:$H,'Daily Plan'!$C:$C,$A7,'Daily Plan'!$A:$A,DW$1)</f>
        <v/>
      </c>
      <c r="DX7" s="48">
        <f>SUMIFS('Daily Plan'!$H:$H,'Daily Plan'!$C:$C,$A7,'Daily Plan'!$A:$A,DX$1)</f>
        <v/>
      </c>
      <c r="DY7" s="48">
        <f>SUMIFS('Daily Plan'!$H:$H,'Daily Plan'!$C:$C,$A7,'Daily Plan'!$A:$A,DY$1)</f>
        <v/>
      </c>
      <c r="DZ7" s="47">
        <f>SUMIFS('Daily Plan'!$H:$H,'Daily Plan'!$C:$C,$A7,'Daily Plan'!$A:$A,DZ$1)</f>
        <v/>
      </c>
      <c r="EA7" s="47">
        <f>SUMIFS('Daily Plan'!$H:$H,'Daily Plan'!$C:$C,$A7,'Daily Plan'!$A:$A,EA$1)</f>
        <v/>
      </c>
      <c r="EB7" s="47">
        <f>SUMIFS('Daily Plan'!$H:$H,'Daily Plan'!$C:$C,$A7,'Daily Plan'!$A:$A,EB$1)</f>
        <v/>
      </c>
      <c r="EC7" s="47">
        <f>SUMIFS('Daily Plan'!$H:$H,'Daily Plan'!$C:$C,$A7,'Daily Plan'!$A:$A,EC$1)</f>
        <v/>
      </c>
      <c r="ED7" s="47">
        <f>SUMIFS('Daily Plan'!$H:$H,'Daily Plan'!$C:$C,$A7,'Daily Plan'!$A:$A,ED$1)</f>
        <v/>
      </c>
      <c r="EE7" s="48">
        <f>SUMIFS('Daily Plan'!$H:$H,'Daily Plan'!$C:$C,$A7,'Daily Plan'!$A:$A,EE$1)</f>
        <v/>
      </c>
      <c r="EF7" s="48">
        <f>SUMIFS('Daily Plan'!$H:$H,'Daily Plan'!$C:$C,$A7,'Daily Plan'!$A:$A,EF$1)</f>
        <v/>
      </c>
      <c r="EG7" s="47">
        <f>SUMIFS('Daily Plan'!$H:$H,'Daily Plan'!$C:$C,$A7,'Daily Plan'!$A:$A,EG$1)</f>
        <v/>
      </c>
      <c r="EH7" s="47">
        <f>SUMIFS('Daily Plan'!$H:$H,'Daily Plan'!$C:$C,$A7,'Daily Plan'!$A:$A,EH$1)</f>
        <v/>
      </c>
      <c r="EI7" s="47">
        <f>SUMIFS('Daily Plan'!$H:$H,'Daily Plan'!$C:$C,$A7,'Daily Plan'!$A:$A,EI$1)</f>
        <v/>
      </c>
      <c r="EJ7" s="47">
        <f>SUMIFS('Daily Plan'!$H:$H,'Daily Plan'!$C:$C,$A7,'Daily Plan'!$A:$A,EJ$1)</f>
        <v/>
      </c>
      <c r="EK7" s="47">
        <f>SUMIFS('Daily Plan'!$H:$H,'Daily Plan'!$C:$C,$A7,'Daily Plan'!$A:$A,EK$1)</f>
        <v/>
      </c>
      <c r="EL7" s="48">
        <f>SUMIFS('Daily Plan'!$H:$H,'Daily Plan'!$C:$C,$A7,'Daily Plan'!$A:$A,EL$1)</f>
        <v/>
      </c>
      <c r="EM7" s="48">
        <f>SUMIFS('Daily Plan'!$H:$H,'Daily Plan'!$C:$C,$A7,'Daily Plan'!$A:$A,EM$1)</f>
        <v/>
      </c>
      <c r="EN7" s="47">
        <f>SUMIFS('Daily Plan'!$H:$H,'Daily Plan'!$C:$C,$A7,'Daily Plan'!$A:$A,EN$1)</f>
        <v/>
      </c>
      <c r="EO7" s="47">
        <f>SUMIFS('Daily Plan'!$H:$H,'Daily Plan'!$C:$C,$A7,'Daily Plan'!$A:$A,EO$1)</f>
        <v/>
      </c>
      <c r="EP7" s="47">
        <f>SUMIFS('Daily Plan'!$H:$H,'Daily Plan'!$C:$C,$A7,'Daily Plan'!$A:$A,EP$1)</f>
        <v/>
      </c>
      <c r="EQ7" s="47">
        <f>SUMIFS('Daily Plan'!$H:$H,'Daily Plan'!$C:$C,$A7,'Daily Plan'!$A:$A,EQ$1)</f>
        <v/>
      </c>
      <c r="ER7" s="47">
        <f>SUMIFS('Daily Plan'!$H:$H,'Daily Plan'!$C:$C,$A7,'Daily Plan'!$A:$A,ER$1)</f>
        <v/>
      </c>
      <c r="ES7" s="48">
        <f>SUMIFS('Daily Plan'!$H:$H,'Daily Plan'!$C:$C,$A7,'Daily Plan'!$A:$A,ES$1)</f>
        <v/>
      </c>
      <c r="ET7" s="48">
        <f>SUMIFS('Daily Plan'!$H:$H,'Daily Plan'!$C:$C,$A7,'Daily Plan'!$A:$A,ET$1)</f>
        <v/>
      </c>
      <c r="EU7" s="47">
        <f>SUMIFS('Daily Plan'!$H:$H,'Daily Plan'!$C:$C,$A7,'Daily Plan'!$A:$A,EU$1)</f>
        <v/>
      </c>
      <c r="EV7" s="47">
        <f>SUMIFS('Daily Plan'!$H:$H,'Daily Plan'!$C:$C,$A7,'Daily Plan'!$A:$A,EV$1)</f>
        <v/>
      </c>
      <c r="EW7" s="47">
        <f>SUMIFS('Daily Plan'!$H:$H,'Daily Plan'!$C:$C,$A7,'Daily Plan'!$A:$A,EW$1)</f>
        <v/>
      </c>
      <c r="EX7" s="47">
        <f>SUMIFS('Daily Plan'!$H:$H,'Daily Plan'!$C:$C,$A7,'Daily Plan'!$A:$A,EX$1)</f>
        <v/>
      </c>
      <c r="EY7" s="47">
        <f>SUMIFS('Daily Plan'!$H:$H,'Daily Plan'!$C:$C,$A7,'Daily Plan'!$A:$A,EY$1)</f>
        <v/>
      </c>
      <c r="EZ7" s="48">
        <f>SUMIFS('Daily Plan'!$H:$H,'Daily Plan'!$C:$C,$A7,'Daily Plan'!$A:$A,EZ$1)</f>
        <v/>
      </c>
      <c r="FA7" s="48">
        <f>SUMIFS('Daily Plan'!$H:$H,'Daily Plan'!$C:$C,$A7,'Daily Plan'!$A:$A,FA$1)</f>
        <v/>
      </c>
      <c r="FB7" s="47">
        <f>SUMIFS('Daily Plan'!$H:$H,'Daily Plan'!$C:$C,$A7,'Daily Plan'!$A:$A,FB$1)</f>
        <v/>
      </c>
      <c r="FC7" s="47">
        <f>SUMIFS('Daily Plan'!$H:$H,'Daily Plan'!$C:$C,$A7,'Daily Plan'!$A:$A,FC$1)</f>
        <v/>
      </c>
      <c r="FD7" s="47">
        <f>SUMIFS('Daily Plan'!$H:$H,'Daily Plan'!$C:$C,$A7,'Daily Plan'!$A:$A,FD$1)</f>
        <v/>
      </c>
      <c r="FE7" s="47">
        <f>SUMIFS('Daily Plan'!$H:$H,'Daily Plan'!$C:$C,$A7,'Daily Plan'!$A:$A,FE$1)</f>
        <v/>
      </c>
      <c r="FF7" s="47">
        <f>SUMIFS('Daily Plan'!$H:$H,'Daily Plan'!$C:$C,$A7,'Daily Plan'!$A:$A,FF$1)</f>
        <v/>
      </c>
      <c r="FG7" s="48">
        <f>SUMIFS('Daily Plan'!$H:$H,'Daily Plan'!$C:$C,$A7,'Daily Plan'!$A:$A,FG$1)</f>
        <v/>
      </c>
      <c r="FH7" s="48">
        <f>SUMIFS('Daily Plan'!$H:$H,'Daily Plan'!$C:$C,$A7,'Daily Plan'!$A:$A,FH$1)</f>
        <v/>
      </c>
      <c r="FI7" s="47">
        <f>SUMIFS('Daily Plan'!$H:$H,'Daily Plan'!$C:$C,$A7,'Daily Plan'!$A:$A,FI$1)</f>
        <v/>
      </c>
      <c r="FJ7" s="47">
        <f>SUMIFS('Daily Plan'!$H:$H,'Daily Plan'!$C:$C,$A7,'Daily Plan'!$A:$A,FJ$1)</f>
        <v/>
      </c>
      <c r="FK7" s="47">
        <f>SUMIFS('Daily Plan'!$H:$H,'Daily Plan'!$C:$C,$A7,'Daily Plan'!$A:$A,FK$1)</f>
        <v/>
      </c>
      <c r="FL7" s="47">
        <f>SUMIFS('Daily Plan'!$H:$H,'Daily Plan'!$C:$C,$A7,'Daily Plan'!$A:$A,FL$1)</f>
        <v/>
      </c>
      <c r="FM7" s="47">
        <f>SUMIFS('Daily Plan'!$H:$H,'Daily Plan'!$C:$C,$A7,'Daily Plan'!$A:$A,FM$1)</f>
        <v/>
      </c>
      <c r="FN7" s="48">
        <f>SUMIFS('Daily Plan'!$H:$H,'Daily Plan'!$C:$C,$A7,'Daily Plan'!$A:$A,FN$1)</f>
        <v/>
      </c>
      <c r="FO7" s="48">
        <f>SUMIFS('Daily Plan'!$H:$H,'Daily Plan'!$C:$C,$A7,'Daily Plan'!$A:$A,FO$1)</f>
        <v/>
      </c>
      <c r="FP7" s="47">
        <f>SUMIFS('Daily Plan'!$H:$H,'Daily Plan'!$C:$C,$A7,'Daily Plan'!$A:$A,FP$1)</f>
        <v/>
      </c>
      <c r="FQ7" s="47">
        <f>SUMIFS('Daily Plan'!$H:$H,'Daily Plan'!$C:$C,$A7,'Daily Plan'!$A:$A,FQ$1)</f>
        <v/>
      </c>
      <c r="FR7" s="47">
        <f>SUMIFS('Daily Plan'!$H:$H,'Daily Plan'!$C:$C,$A7,'Daily Plan'!$A:$A,FR$1)</f>
        <v/>
      </c>
      <c r="FS7" s="47">
        <f>SUMIFS('Daily Plan'!$H:$H,'Daily Plan'!$C:$C,$A7,'Daily Plan'!$A:$A,FS$1)</f>
        <v/>
      </c>
    </row>
    <row r="8">
      <c r="A8" s="23" t="inlineStr">
        <is>
          <t>MLE-4</t>
        </is>
      </c>
      <c r="B8" s="23" t="inlineStr">
        <is>
          <t>工程</t>
        </is>
      </c>
      <c r="C8" s="2" t="inlineStr">
        <is>
          <t>避免逐日 append</t>
        </is>
      </c>
      <c r="D8" s="43" t="n">
        <v>46216</v>
      </c>
      <c r="E8" s="43" t="n">
        <v>46220</v>
      </c>
      <c r="F8" s="23" t="inlineStr">
        <is>
          <t>pending</t>
        </is>
      </c>
      <c r="G8" s="44">
        <f>SUMIF('Daily Plan'!$C:$C,A8,'Daily Plan'!$H:$H)</f>
        <v/>
      </c>
      <c r="H8" s="44">
        <f>SUMIF('Daily Plan'!$C:$C,A8,'Daily Plan'!$I:$I)</f>
        <v/>
      </c>
      <c r="I8" s="44">
        <f>MAX(G8-H8,0)</f>
        <v/>
      </c>
      <c r="J8" s="25">
        <f>IF(G8=0,IF(F8="done",1,0),H8/G8)</f>
        <v/>
      </c>
      <c r="K8" s="2" t="inlineStr">
        <is>
          <t>MLE-3</t>
        </is>
      </c>
      <c r="L8" s="2" t="inlineStr">
        <is>
          <t>高频 append 清零或可解释</t>
        </is>
      </c>
      <c r="M8" s="47">
        <f>SUMIFS('Daily Plan'!$H:$H,'Daily Plan'!$C:$C,$A8,'Daily Plan'!$A:$A,M$1)</f>
        <v/>
      </c>
      <c r="N8" s="47">
        <f>SUMIFS('Daily Plan'!$H:$H,'Daily Plan'!$C:$C,$A8,'Daily Plan'!$A:$A,N$1)</f>
        <v/>
      </c>
      <c r="O8" s="47">
        <f>SUMIFS('Daily Plan'!$H:$H,'Daily Plan'!$C:$C,$A8,'Daily Plan'!$A:$A,O$1)</f>
        <v/>
      </c>
      <c r="P8" s="48">
        <f>SUMIFS('Daily Plan'!$H:$H,'Daily Plan'!$C:$C,$A8,'Daily Plan'!$A:$A,P$1)</f>
        <v/>
      </c>
      <c r="Q8" s="48">
        <f>SUMIFS('Daily Plan'!$H:$H,'Daily Plan'!$C:$C,$A8,'Daily Plan'!$A:$A,Q$1)</f>
        <v/>
      </c>
      <c r="R8" s="47">
        <f>SUMIFS('Daily Plan'!$H:$H,'Daily Plan'!$C:$C,$A8,'Daily Plan'!$A:$A,R$1)</f>
        <v/>
      </c>
      <c r="S8" s="47">
        <f>SUMIFS('Daily Plan'!$H:$H,'Daily Plan'!$C:$C,$A8,'Daily Plan'!$A:$A,S$1)</f>
        <v/>
      </c>
      <c r="T8" s="47">
        <f>SUMIFS('Daily Plan'!$H:$H,'Daily Plan'!$C:$C,$A8,'Daily Plan'!$A:$A,T$1)</f>
        <v/>
      </c>
      <c r="U8" s="47">
        <f>SUMIFS('Daily Plan'!$H:$H,'Daily Plan'!$C:$C,$A8,'Daily Plan'!$A:$A,U$1)</f>
        <v/>
      </c>
      <c r="V8" s="47">
        <f>SUMIFS('Daily Plan'!$H:$H,'Daily Plan'!$C:$C,$A8,'Daily Plan'!$A:$A,V$1)</f>
        <v/>
      </c>
      <c r="W8" s="48">
        <f>SUMIFS('Daily Plan'!$H:$H,'Daily Plan'!$C:$C,$A8,'Daily Plan'!$A:$A,W$1)</f>
        <v/>
      </c>
      <c r="X8" s="48">
        <f>SUMIFS('Daily Plan'!$H:$H,'Daily Plan'!$C:$C,$A8,'Daily Plan'!$A:$A,X$1)</f>
        <v/>
      </c>
      <c r="Y8" s="47">
        <f>SUMIFS('Daily Plan'!$H:$H,'Daily Plan'!$C:$C,$A8,'Daily Plan'!$A:$A,Y$1)</f>
        <v/>
      </c>
      <c r="Z8" s="47">
        <f>SUMIFS('Daily Plan'!$H:$H,'Daily Plan'!$C:$C,$A8,'Daily Plan'!$A:$A,Z$1)</f>
        <v/>
      </c>
      <c r="AA8" s="47">
        <f>SUMIFS('Daily Plan'!$H:$H,'Daily Plan'!$C:$C,$A8,'Daily Plan'!$A:$A,AA$1)</f>
        <v/>
      </c>
      <c r="AB8" s="47">
        <f>SUMIFS('Daily Plan'!$H:$H,'Daily Plan'!$C:$C,$A8,'Daily Plan'!$A:$A,AB$1)</f>
        <v/>
      </c>
      <c r="AC8" s="47">
        <f>SUMIFS('Daily Plan'!$H:$H,'Daily Plan'!$C:$C,$A8,'Daily Plan'!$A:$A,AC$1)</f>
        <v/>
      </c>
      <c r="AD8" s="48">
        <f>SUMIFS('Daily Plan'!$H:$H,'Daily Plan'!$C:$C,$A8,'Daily Plan'!$A:$A,AD$1)</f>
        <v/>
      </c>
      <c r="AE8" s="48">
        <f>SUMIFS('Daily Plan'!$H:$H,'Daily Plan'!$C:$C,$A8,'Daily Plan'!$A:$A,AE$1)</f>
        <v/>
      </c>
      <c r="AF8" s="47">
        <f>SUMIFS('Daily Plan'!$H:$H,'Daily Plan'!$C:$C,$A8,'Daily Plan'!$A:$A,AF$1)</f>
        <v/>
      </c>
      <c r="AG8" s="47">
        <f>SUMIFS('Daily Plan'!$H:$H,'Daily Plan'!$C:$C,$A8,'Daily Plan'!$A:$A,AG$1)</f>
        <v/>
      </c>
      <c r="AH8" s="47">
        <f>SUMIFS('Daily Plan'!$H:$H,'Daily Plan'!$C:$C,$A8,'Daily Plan'!$A:$A,AH$1)</f>
        <v/>
      </c>
      <c r="AI8" s="47">
        <f>SUMIFS('Daily Plan'!$H:$H,'Daily Plan'!$C:$C,$A8,'Daily Plan'!$A:$A,AI$1)</f>
        <v/>
      </c>
      <c r="AJ8" s="47">
        <f>SUMIFS('Daily Plan'!$H:$H,'Daily Plan'!$C:$C,$A8,'Daily Plan'!$A:$A,AJ$1)</f>
        <v/>
      </c>
      <c r="AK8" s="48">
        <f>SUMIFS('Daily Plan'!$H:$H,'Daily Plan'!$C:$C,$A8,'Daily Plan'!$A:$A,AK$1)</f>
        <v/>
      </c>
      <c r="AL8" s="48">
        <f>SUMIFS('Daily Plan'!$H:$H,'Daily Plan'!$C:$C,$A8,'Daily Plan'!$A:$A,AL$1)</f>
        <v/>
      </c>
      <c r="AM8" s="47">
        <f>SUMIFS('Daily Plan'!$H:$H,'Daily Plan'!$C:$C,$A8,'Daily Plan'!$A:$A,AM$1)</f>
        <v/>
      </c>
      <c r="AN8" s="47">
        <f>SUMIFS('Daily Plan'!$H:$H,'Daily Plan'!$C:$C,$A8,'Daily Plan'!$A:$A,AN$1)</f>
        <v/>
      </c>
      <c r="AO8" s="47">
        <f>SUMIFS('Daily Plan'!$H:$H,'Daily Plan'!$C:$C,$A8,'Daily Plan'!$A:$A,AO$1)</f>
        <v/>
      </c>
      <c r="AP8" s="47">
        <f>SUMIFS('Daily Plan'!$H:$H,'Daily Plan'!$C:$C,$A8,'Daily Plan'!$A:$A,AP$1)</f>
        <v/>
      </c>
      <c r="AQ8" s="47">
        <f>SUMIFS('Daily Plan'!$H:$H,'Daily Plan'!$C:$C,$A8,'Daily Plan'!$A:$A,AQ$1)</f>
        <v/>
      </c>
      <c r="AR8" s="48">
        <f>SUMIFS('Daily Plan'!$H:$H,'Daily Plan'!$C:$C,$A8,'Daily Plan'!$A:$A,AR$1)</f>
        <v/>
      </c>
      <c r="AS8" s="48">
        <f>SUMIFS('Daily Plan'!$H:$H,'Daily Plan'!$C:$C,$A8,'Daily Plan'!$A:$A,AS$1)</f>
        <v/>
      </c>
      <c r="AT8" s="47">
        <f>SUMIFS('Daily Plan'!$H:$H,'Daily Plan'!$C:$C,$A8,'Daily Plan'!$A:$A,AT$1)</f>
        <v/>
      </c>
      <c r="AU8" s="47">
        <f>SUMIFS('Daily Plan'!$H:$H,'Daily Plan'!$C:$C,$A8,'Daily Plan'!$A:$A,AU$1)</f>
        <v/>
      </c>
      <c r="AV8" s="47">
        <f>SUMIFS('Daily Plan'!$H:$H,'Daily Plan'!$C:$C,$A8,'Daily Plan'!$A:$A,AV$1)</f>
        <v/>
      </c>
      <c r="AW8" s="47">
        <f>SUMIFS('Daily Plan'!$H:$H,'Daily Plan'!$C:$C,$A8,'Daily Plan'!$A:$A,AW$1)</f>
        <v/>
      </c>
      <c r="AX8" s="47">
        <f>SUMIFS('Daily Plan'!$H:$H,'Daily Plan'!$C:$C,$A8,'Daily Plan'!$A:$A,AX$1)</f>
        <v/>
      </c>
      <c r="AY8" s="48">
        <f>SUMIFS('Daily Plan'!$H:$H,'Daily Plan'!$C:$C,$A8,'Daily Plan'!$A:$A,AY$1)</f>
        <v/>
      </c>
      <c r="AZ8" s="48">
        <f>SUMIFS('Daily Plan'!$H:$H,'Daily Plan'!$C:$C,$A8,'Daily Plan'!$A:$A,AZ$1)</f>
        <v/>
      </c>
      <c r="BA8" s="47">
        <f>SUMIFS('Daily Plan'!$H:$H,'Daily Plan'!$C:$C,$A8,'Daily Plan'!$A:$A,BA$1)</f>
        <v/>
      </c>
      <c r="BB8" s="47">
        <f>SUMIFS('Daily Plan'!$H:$H,'Daily Plan'!$C:$C,$A8,'Daily Plan'!$A:$A,BB$1)</f>
        <v/>
      </c>
      <c r="BC8" s="47">
        <f>SUMIFS('Daily Plan'!$H:$H,'Daily Plan'!$C:$C,$A8,'Daily Plan'!$A:$A,BC$1)</f>
        <v/>
      </c>
      <c r="BD8" s="47">
        <f>SUMIFS('Daily Plan'!$H:$H,'Daily Plan'!$C:$C,$A8,'Daily Plan'!$A:$A,BD$1)</f>
        <v/>
      </c>
      <c r="BE8" s="47">
        <f>SUMIFS('Daily Plan'!$H:$H,'Daily Plan'!$C:$C,$A8,'Daily Plan'!$A:$A,BE$1)</f>
        <v/>
      </c>
      <c r="BF8" s="48">
        <f>SUMIFS('Daily Plan'!$H:$H,'Daily Plan'!$C:$C,$A8,'Daily Plan'!$A:$A,BF$1)</f>
        <v/>
      </c>
      <c r="BG8" s="48">
        <f>SUMIFS('Daily Plan'!$H:$H,'Daily Plan'!$C:$C,$A8,'Daily Plan'!$A:$A,BG$1)</f>
        <v/>
      </c>
      <c r="BH8" s="47">
        <f>SUMIFS('Daily Plan'!$H:$H,'Daily Plan'!$C:$C,$A8,'Daily Plan'!$A:$A,BH$1)</f>
        <v/>
      </c>
      <c r="BI8" s="47">
        <f>SUMIFS('Daily Plan'!$H:$H,'Daily Plan'!$C:$C,$A8,'Daily Plan'!$A:$A,BI$1)</f>
        <v/>
      </c>
      <c r="BJ8" s="47">
        <f>SUMIFS('Daily Plan'!$H:$H,'Daily Plan'!$C:$C,$A8,'Daily Plan'!$A:$A,BJ$1)</f>
        <v/>
      </c>
      <c r="BK8" s="47">
        <f>SUMIFS('Daily Plan'!$H:$H,'Daily Plan'!$C:$C,$A8,'Daily Plan'!$A:$A,BK$1)</f>
        <v/>
      </c>
      <c r="BL8" s="47">
        <f>SUMIFS('Daily Plan'!$H:$H,'Daily Plan'!$C:$C,$A8,'Daily Plan'!$A:$A,BL$1)</f>
        <v/>
      </c>
      <c r="BM8" s="48">
        <f>SUMIFS('Daily Plan'!$H:$H,'Daily Plan'!$C:$C,$A8,'Daily Plan'!$A:$A,BM$1)</f>
        <v/>
      </c>
      <c r="BN8" s="48">
        <f>SUMIFS('Daily Plan'!$H:$H,'Daily Plan'!$C:$C,$A8,'Daily Plan'!$A:$A,BN$1)</f>
        <v/>
      </c>
      <c r="BO8" s="47">
        <f>SUMIFS('Daily Plan'!$H:$H,'Daily Plan'!$C:$C,$A8,'Daily Plan'!$A:$A,BO$1)</f>
        <v/>
      </c>
      <c r="BP8" s="47">
        <f>SUMIFS('Daily Plan'!$H:$H,'Daily Plan'!$C:$C,$A8,'Daily Plan'!$A:$A,BP$1)</f>
        <v/>
      </c>
      <c r="BQ8" s="47">
        <f>SUMIFS('Daily Plan'!$H:$H,'Daily Plan'!$C:$C,$A8,'Daily Plan'!$A:$A,BQ$1)</f>
        <v/>
      </c>
      <c r="BR8" s="47">
        <f>SUMIFS('Daily Plan'!$H:$H,'Daily Plan'!$C:$C,$A8,'Daily Plan'!$A:$A,BR$1)</f>
        <v/>
      </c>
      <c r="BS8" s="47">
        <f>SUMIFS('Daily Plan'!$H:$H,'Daily Plan'!$C:$C,$A8,'Daily Plan'!$A:$A,BS$1)</f>
        <v/>
      </c>
      <c r="BT8" s="48">
        <f>SUMIFS('Daily Plan'!$H:$H,'Daily Plan'!$C:$C,$A8,'Daily Plan'!$A:$A,BT$1)</f>
        <v/>
      </c>
      <c r="BU8" s="48">
        <f>SUMIFS('Daily Plan'!$H:$H,'Daily Plan'!$C:$C,$A8,'Daily Plan'!$A:$A,BU$1)</f>
        <v/>
      </c>
      <c r="BV8" s="47">
        <f>SUMIFS('Daily Plan'!$H:$H,'Daily Plan'!$C:$C,$A8,'Daily Plan'!$A:$A,BV$1)</f>
        <v/>
      </c>
      <c r="BW8" s="47">
        <f>SUMIFS('Daily Plan'!$H:$H,'Daily Plan'!$C:$C,$A8,'Daily Plan'!$A:$A,BW$1)</f>
        <v/>
      </c>
      <c r="BX8" s="47">
        <f>SUMIFS('Daily Plan'!$H:$H,'Daily Plan'!$C:$C,$A8,'Daily Plan'!$A:$A,BX$1)</f>
        <v/>
      </c>
      <c r="BY8" s="47">
        <f>SUMIFS('Daily Plan'!$H:$H,'Daily Plan'!$C:$C,$A8,'Daily Plan'!$A:$A,BY$1)</f>
        <v/>
      </c>
      <c r="BZ8" s="47">
        <f>SUMIFS('Daily Plan'!$H:$H,'Daily Plan'!$C:$C,$A8,'Daily Plan'!$A:$A,BZ$1)</f>
        <v/>
      </c>
      <c r="CA8" s="48">
        <f>SUMIFS('Daily Plan'!$H:$H,'Daily Plan'!$C:$C,$A8,'Daily Plan'!$A:$A,CA$1)</f>
        <v/>
      </c>
      <c r="CB8" s="48">
        <f>SUMIFS('Daily Plan'!$H:$H,'Daily Plan'!$C:$C,$A8,'Daily Plan'!$A:$A,CB$1)</f>
        <v/>
      </c>
      <c r="CC8" s="47">
        <f>SUMIFS('Daily Plan'!$H:$H,'Daily Plan'!$C:$C,$A8,'Daily Plan'!$A:$A,CC$1)</f>
        <v/>
      </c>
      <c r="CD8" s="47">
        <f>SUMIFS('Daily Plan'!$H:$H,'Daily Plan'!$C:$C,$A8,'Daily Plan'!$A:$A,CD$1)</f>
        <v/>
      </c>
      <c r="CE8" s="47">
        <f>SUMIFS('Daily Plan'!$H:$H,'Daily Plan'!$C:$C,$A8,'Daily Plan'!$A:$A,CE$1)</f>
        <v/>
      </c>
      <c r="CF8" s="47">
        <f>SUMIFS('Daily Plan'!$H:$H,'Daily Plan'!$C:$C,$A8,'Daily Plan'!$A:$A,CF$1)</f>
        <v/>
      </c>
      <c r="CG8" s="47">
        <f>SUMIFS('Daily Plan'!$H:$H,'Daily Plan'!$C:$C,$A8,'Daily Plan'!$A:$A,CG$1)</f>
        <v/>
      </c>
      <c r="CH8" s="48">
        <f>SUMIFS('Daily Plan'!$H:$H,'Daily Plan'!$C:$C,$A8,'Daily Plan'!$A:$A,CH$1)</f>
        <v/>
      </c>
      <c r="CI8" s="48">
        <f>SUMIFS('Daily Plan'!$H:$H,'Daily Plan'!$C:$C,$A8,'Daily Plan'!$A:$A,CI$1)</f>
        <v/>
      </c>
      <c r="CJ8" s="47">
        <f>SUMIFS('Daily Plan'!$H:$H,'Daily Plan'!$C:$C,$A8,'Daily Plan'!$A:$A,CJ$1)</f>
        <v/>
      </c>
      <c r="CK8" s="47">
        <f>SUMIFS('Daily Plan'!$H:$H,'Daily Plan'!$C:$C,$A8,'Daily Plan'!$A:$A,CK$1)</f>
        <v/>
      </c>
      <c r="CL8" s="47">
        <f>SUMIFS('Daily Plan'!$H:$H,'Daily Plan'!$C:$C,$A8,'Daily Plan'!$A:$A,CL$1)</f>
        <v/>
      </c>
      <c r="CM8" s="47">
        <f>SUMIFS('Daily Plan'!$H:$H,'Daily Plan'!$C:$C,$A8,'Daily Plan'!$A:$A,CM$1)</f>
        <v/>
      </c>
      <c r="CN8" s="47">
        <f>SUMIFS('Daily Plan'!$H:$H,'Daily Plan'!$C:$C,$A8,'Daily Plan'!$A:$A,CN$1)</f>
        <v/>
      </c>
      <c r="CO8" s="48">
        <f>SUMIFS('Daily Plan'!$H:$H,'Daily Plan'!$C:$C,$A8,'Daily Plan'!$A:$A,CO$1)</f>
        <v/>
      </c>
      <c r="CP8" s="48">
        <f>SUMIFS('Daily Plan'!$H:$H,'Daily Plan'!$C:$C,$A8,'Daily Plan'!$A:$A,CP$1)</f>
        <v/>
      </c>
      <c r="CQ8" s="47">
        <f>SUMIFS('Daily Plan'!$H:$H,'Daily Plan'!$C:$C,$A8,'Daily Plan'!$A:$A,CQ$1)</f>
        <v/>
      </c>
      <c r="CR8" s="47">
        <f>SUMIFS('Daily Plan'!$H:$H,'Daily Plan'!$C:$C,$A8,'Daily Plan'!$A:$A,CR$1)</f>
        <v/>
      </c>
      <c r="CS8" s="47">
        <f>SUMIFS('Daily Plan'!$H:$H,'Daily Plan'!$C:$C,$A8,'Daily Plan'!$A:$A,CS$1)</f>
        <v/>
      </c>
      <c r="CT8" s="47">
        <f>SUMIFS('Daily Plan'!$H:$H,'Daily Plan'!$C:$C,$A8,'Daily Plan'!$A:$A,CT$1)</f>
        <v/>
      </c>
      <c r="CU8" s="47">
        <f>SUMIFS('Daily Plan'!$H:$H,'Daily Plan'!$C:$C,$A8,'Daily Plan'!$A:$A,CU$1)</f>
        <v/>
      </c>
      <c r="CV8" s="48">
        <f>SUMIFS('Daily Plan'!$H:$H,'Daily Plan'!$C:$C,$A8,'Daily Plan'!$A:$A,CV$1)</f>
        <v/>
      </c>
      <c r="CW8" s="48">
        <f>SUMIFS('Daily Plan'!$H:$H,'Daily Plan'!$C:$C,$A8,'Daily Plan'!$A:$A,CW$1)</f>
        <v/>
      </c>
      <c r="CX8" s="47">
        <f>SUMIFS('Daily Plan'!$H:$H,'Daily Plan'!$C:$C,$A8,'Daily Plan'!$A:$A,CX$1)</f>
        <v/>
      </c>
      <c r="CY8" s="47">
        <f>SUMIFS('Daily Plan'!$H:$H,'Daily Plan'!$C:$C,$A8,'Daily Plan'!$A:$A,CY$1)</f>
        <v/>
      </c>
      <c r="CZ8" s="47">
        <f>SUMIFS('Daily Plan'!$H:$H,'Daily Plan'!$C:$C,$A8,'Daily Plan'!$A:$A,CZ$1)</f>
        <v/>
      </c>
      <c r="DA8" s="47">
        <f>SUMIFS('Daily Plan'!$H:$H,'Daily Plan'!$C:$C,$A8,'Daily Plan'!$A:$A,DA$1)</f>
        <v/>
      </c>
      <c r="DB8" s="47">
        <f>SUMIFS('Daily Plan'!$H:$H,'Daily Plan'!$C:$C,$A8,'Daily Plan'!$A:$A,DB$1)</f>
        <v/>
      </c>
      <c r="DC8" s="48">
        <f>SUMIFS('Daily Plan'!$H:$H,'Daily Plan'!$C:$C,$A8,'Daily Plan'!$A:$A,DC$1)</f>
        <v/>
      </c>
      <c r="DD8" s="48">
        <f>SUMIFS('Daily Plan'!$H:$H,'Daily Plan'!$C:$C,$A8,'Daily Plan'!$A:$A,DD$1)</f>
        <v/>
      </c>
      <c r="DE8" s="47">
        <f>SUMIFS('Daily Plan'!$H:$H,'Daily Plan'!$C:$C,$A8,'Daily Plan'!$A:$A,DE$1)</f>
        <v/>
      </c>
      <c r="DF8" s="47">
        <f>SUMIFS('Daily Plan'!$H:$H,'Daily Plan'!$C:$C,$A8,'Daily Plan'!$A:$A,DF$1)</f>
        <v/>
      </c>
      <c r="DG8" s="47">
        <f>SUMIFS('Daily Plan'!$H:$H,'Daily Plan'!$C:$C,$A8,'Daily Plan'!$A:$A,DG$1)</f>
        <v/>
      </c>
      <c r="DH8" s="47">
        <f>SUMIFS('Daily Plan'!$H:$H,'Daily Plan'!$C:$C,$A8,'Daily Plan'!$A:$A,DH$1)</f>
        <v/>
      </c>
      <c r="DI8" s="47">
        <f>SUMIFS('Daily Plan'!$H:$H,'Daily Plan'!$C:$C,$A8,'Daily Plan'!$A:$A,DI$1)</f>
        <v/>
      </c>
      <c r="DJ8" s="48">
        <f>SUMIFS('Daily Plan'!$H:$H,'Daily Plan'!$C:$C,$A8,'Daily Plan'!$A:$A,DJ$1)</f>
        <v/>
      </c>
      <c r="DK8" s="48">
        <f>SUMIFS('Daily Plan'!$H:$H,'Daily Plan'!$C:$C,$A8,'Daily Plan'!$A:$A,DK$1)</f>
        <v/>
      </c>
      <c r="DL8" s="47">
        <f>SUMIFS('Daily Plan'!$H:$H,'Daily Plan'!$C:$C,$A8,'Daily Plan'!$A:$A,DL$1)</f>
        <v/>
      </c>
      <c r="DM8" s="47">
        <f>SUMIFS('Daily Plan'!$H:$H,'Daily Plan'!$C:$C,$A8,'Daily Plan'!$A:$A,DM$1)</f>
        <v/>
      </c>
      <c r="DN8" s="47">
        <f>SUMIFS('Daily Plan'!$H:$H,'Daily Plan'!$C:$C,$A8,'Daily Plan'!$A:$A,DN$1)</f>
        <v/>
      </c>
      <c r="DO8" s="47">
        <f>SUMIFS('Daily Plan'!$H:$H,'Daily Plan'!$C:$C,$A8,'Daily Plan'!$A:$A,DO$1)</f>
        <v/>
      </c>
      <c r="DP8" s="47">
        <f>SUMIFS('Daily Plan'!$H:$H,'Daily Plan'!$C:$C,$A8,'Daily Plan'!$A:$A,DP$1)</f>
        <v/>
      </c>
      <c r="DQ8" s="48">
        <f>SUMIFS('Daily Plan'!$H:$H,'Daily Plan'!$C:$C,$A8,'Daily Plan'!$A:$A,DQ$1)</f>
        <v/>
      </c>
      <c r="DR8" s="48">
        <f>SUMIFS('Daily Plan'!$H:$H,'Daily Plan'!$C:$C,$A8,'Daily Plan'!$A:$A,DR$1)</f>
        <v/>
      </c>
      <c r="DS8" s="47">
        <f>SUMIFS('Daily Plan'!$H:$H,'Daily Plan'!$C:$C,$A8,'Daily Plan'!$A:$A,DS$1)</f>
        <v/>
      </c>
      <c r="DT8" s="47">
        <f>SUMIFS('Daily Plan'!$H:$H,'Daily Plan'!$C:$C,$A8,'Daily Plan'!$A:$A,DT$1)</f>
        <v/>
      </c>
      <c r="DU8" s="47">
        <f>SUMIFS('Daily Plan'!$H:$H,'Daily Plan'!$C:$C,$A8,'Daily Plan'!$A:$A,DU$1)</f>
        <v/>
      </c>
      <c r="DV8" s="47">
        <f>SUMIFS('Daily Plan'!$H:$H,'Daily Plan'!$C:$C,$A8,'Daily Plan'!$A:$A,DV$1)</f>
        <v/>
      </c>
      <c r="DW8" s="47">
        <f>SUMIFS('Daily Plan'!$H:$H,'Daily Plan'!$C:$C,$A8,'Daily Plan'!$A:$A,DW$1)</f>
        <v/>
      </c>
      <c r="DX8" s="48">
        <f>SUMIFS('Daily Plan'!$H:$H,'Daily Plan'!$C:$C,$A8,'Daily Plan'!$A:$A,DX$1)</f>
        <v/>
      </c>
      <c r="DY8" s="48">
        <f>SUMIFS('Daily Plan'!$H:$H,'Daily Plan'!$C:$C,$A8,'Daily Plan'!$A:$A,DY$1)</f>
        <v/>
      </c>
      <c r="DZ8" s="47">
        <f>SUMIFS('Daily Plan'!$H:$H,'Daily Plan'!$C:$C,$A8,'Daily Plan'!$A:$A,DZ$1)</f>
        <v/>
      </c>
      <c r="EA8" s="47">
        <f>SUMIFS('Daily Plan'!$H:$H,'Daily Plan'!$C:$C,$A8,'Daily Plan'!$A:$A,EA$1)</f>
        <v/>
      </c>
      <c r="EB8" s="47">
        <f>SUMIFS('Daily Plan'!$H:$H,'Daily Plan'!$C:$C,$A8,'Daily Plan'!$A:$A,EB$1)</f>
        <v/>
      </c>
      <c r="EC8" s="47">
        <f>SUMIFS('Daily Plan'!$H:$H,'Daily Plan'!$C:$C,$A8,'Daily Plan'!$A:$A,EC$1)</f>
        <v/>
      </c>
      <c r="ED8" s="47">
        <f>SUMIFS('Daily Plan'!$H:$H,'Daily Plan'!$C:$C,$A8,'Daily Plan'!$A:$A,ED$1)</f>
        <v/>
      </c>
      <c r="EE8" s="48">
        <f>SUMIFS('Daily Plan'!$H:$H,'Daily Plan'!$C:$C,$A8,'Daily Plan'!$A:$A,EE$1)</f>
        <v/>
      </c>
      <c r="EF8" s="48">
        <f>SUMIFS('Daily Plan'!$H:$H,'Daily Plan'!$C:$C,$A8,'Daily Plan'!$A:$A,EF$1)</f>
        <v/>
      </c>
      <c r="EG8" s="47">
        <f>SUMIFS('Daily Plan'!$H:$H,'Daily Plan'!$C:$C,$A8,'Daily Plan'!$A:$A,EG$1)</f>
        <v/>
      </c>
      <c r="EH8" s="47">
        <f>SUMIFS('Daily Plan'!$H:$H,'Daily Plan'!$C:$C,$A8,'Daily Plan'!$A:$A,EH$1)</f>
        <v/>
      </c>
      <c r="EI8" s="47">
        <f>SUMIFS('Daily Plan'!$H:$H,'Daily Plan'!$C:$C,$A8,'Daily Plan'!$A:$A,EI$1)</f>
        <v/>
      </c>
      <c r="EJ8" s="47">
        <f>SUMIFS('Daily Plan'!$H:$H,'Daily Plan'!$C:$C,$A8,'Daily Plan'!$A:$A,EJ$1)</f>
        <v/>
      </c>
      <c r="EK8" s="47">
        <f>SUMIFS('Daily Plan'!$H:$H,'Daily Plan'!$C:$C,$A8,'Daily Plan'!$A:$A,EK$1)</f>
        <v/>
      </c>
      <c r="EL8" s="48">
        <f>SUMIFS('Daily Plan'!$H:$H,'Daily Plan'!$C:$C,$A8,'Daily Plan'!$A:$A,EL$1)</f>
        <v/>
      </c>
      <c r="EM8" s="48">
        <f>SUMIFS('Daily Plan'!$H:$H,'Daily Plan'!$C:$C,$A8,'Daily Plan'!$A:$A,EM$1)</f>
        <v/>
      </c>
      <c r="EN8" s="47">
        <f>SUMIFS('Daily Plan'!$H:$H,'Daily Plan'!$C:$C,$A8,'Daily Plan'!$A:$A,EN$1)</f>
        <v/>
      </c>
      <c r="EO8" s="47">
        <f>SUMIFS('Daily Plan'!$H:$H,'Daily Plan'!$C:$C,$A8,'Daily Plan'!$A:$A,EO$1)</f>
        <v/>
      </c>
      <c r="EP8" s="47">
        <f>SUMIFS('Daily Plan'!$H:$H,'Daily Plan'!$C:$C,$A8,'Daily Plan'!$A:$A,EP$1)</f>
        <v/>
      </c>
      <c r="EQ8" s="47">
        <f>SUMIFS('Daily Plan'!$H:$H,'Daily Plan'!$C:$C,$A8,'Daily Plan'!$A:$A,EQ$1)</f>
        <v/>
      </c>
      <c r="ER8" s="47">
        <f>SUMIFS('Daily Plan'!$H:$H,'Daily Plan'!$C:$C,$A8,'Daily Plan'!$A:$A,ER$1)</f>
        <v/>
      </c>
      <c r="ES8" s="48">
        <f>SUMIFS('Daily Plan'!$H:$H,'Daily Plan'!$C:$C,$A8,'Daily Plan'!$A:$A,ES$1)</f>
        <v/>
      </c>
      <c r="ET8" s="48">
        <f>SUMIFS('Daily Plan'!$H:$H,'Daily Plan'!$C:$C,$A8,'Daily Plan'!$A:$A,ET$1)</f>
        <v/>
      </c>
      <c r="EU8" s="47">
        <f>SUMIFS('Daily Plan'!$H:$H,'Daily Plan'!$C:$C,$A8,'Daily Plan'!$A:$A,EU$1)</f>
        <v/>
      </c>
      <c r="EV8" s="47">
        <f>SUMIFS('Daily Plan'!$H:$H,'Daily Plan'!$C:$C,$A8,'Daily Plan'!$A:$A,EV$1)</f>
        <v/>
      </c>
      <c r="EW8" s="47">
        <f>SUMIFS('Daily Plan'!$H:$H,'Daily Plan'!$C:$C,$A8,'Daily Plan'!$A:$A,EW$1)</f>
        <v/>
      </c>
      <c r="EX8" s="47">
        <f>SUMIFS('Daily Plan'!$H:$H,'Daily Plan'!$C:$C,$A8,'Daily Plan'!$A:$A,EX$1)</f>
        <v/>
      </c>
      <c r="EY8" s="47">
        <f>SUMIFS('Daily Plan'!$H:$H,'Daily Plan'!$C:$C,$A8,'Daily Plan'!$A:$A,EY$1)</f>
        <v/>
      </c>
      <c r="EZ8" s="48">
        <f>SUMIFS('Daily Plan'!$H:$H,'Daily Plan'!$C:$C,$A8,'Daily Plan'!$A:$A,EZ$1)</f>
        <v/>
      </c>
      <c r="FA8" s="48">
        <f>SUMIFS('Daily Plan'!$H:$H,'Daily Plan'!$C:$C,$A8,'Daily Plan'!$A:$A,FA$1)</f>
        <v/>
      </c>
      <c r="FB8" s="47">
        <f>SUMIFS('Daily Plan'!$H:$H,'Daily Plan'!$C:$C,$A8,'Daily Plan'!$A:$A,FB$1)</f>
        <v/>
      </c>
      <c r="FC8" s="47">
        <f>SUMIFS('Daily Plan'!$H:$H,'Daily Plan'!$C:$C,$A8,'Daily Plan'!$A:$A,FC$1)</f>
        <v/>
      </c>
      <c r="FD8" s="47">
        <f>SUMIFS('Daily Plan'!$H:$H,'Daily Plan'!$C:$C,$A8,'Daily Plan'!$A:$A,FD$1)</f>
        <v/>
      </c>
      <c r="FE8" s="47">
        <f>SUMIFS('Daily Plan'!$H:$H,'Daily Plan'!$C:$C,$A8,'Daily Plan'!$A:$A,FE$1)</f>
        <v/>
      </c>
      <c r="FF8" s="47">
        <f>SUMIFS('Daily Plan'!$H:$H,'Daily Plan'!$C:$C,$A8,'Daily Plan'!$A:$A,FF$1)</f>
        <v/>
      </c>
      <c r="FG8" s="48">
        <f>SUMIFS('Daily Plan'!$H:$H,'Daily Plan'!$C:$C,$A8,'Daily Plan'!$A:$A,FG$1)</f>
        <v/>
      </c>
      <c r="FH8" s="48">
        <f>SUMIFS('Daily Plan'!$H:$H,'Daily Plan'!$C:$C,$A8,'Daily Plan'!$A:$A,FH$1)</f>
        <v/>
      </c>
      <c r="FI8" s="47">
        <f>SUMIFS('Daily Plan'!$H:$H,'Daily Plan'!$C:$C,$A8,'Daily Plan'!$A:$A,FI$1)</f>
        <v/>
      </c>
      <c r="FJ8" s="47">
        <f>SUMIFS('Daily Plan'!$H:$H,'Daily Plan'!$C:$C,$A8,'Daily Plan'!$A:$A,FJ$1)</f>
        <v/>
      </c>
      <c r="FK8" s="47">
        <f>SUMIFS('Daily Plan'!$H:$H,'Daily Plan'!$C:$C,$A8,'Daily Plan'!$A:$A,FK$1)</f>
        <v/>
      </c>
      <c r="FL8" s="47">
        <f>SUMIFS('Daily Plan'!$H:$H,'Daily Plan'!$C:$C,$A8,'Daily Plan'!$A:$A,FL$1)</f>
        <v/>
      </c>
      <c r="FM8" s="47">
        <f>SUMIFS('Daily Plan'!$H:$H,'Daily Plan'!$C:$C,$A8,'Daily Plan'!$A:$A,FM$1)</f>
        <v/>
      </c>
      <c r="FN8" s="48">
        <f>SUMIFS('Daily Plan'!$H:$H,'Daily Plan'!$C:$C,$A8,'Daily Plan'!$A:$A,FN$1)</f>
        <v/>
      </c>
      <c r="FO8" s="48">
        <f>SUMIFS('Daily Plan'!$H:$H,'Daily Plan'!$C:$C,$A8,'Daily Plan'!$A:$A,FO$1)</f>
        <v/>
      </c>
      <c r="FP8" s="47">
        <f>SUMIFS('Daily Plan'!$H:$H,'Daily Plan'!$C:$C,$A8,'Daily Plan'!$A:$A,FP$1)</f>
        <v/>
      </c>
      <c r="FQ8" s="47">
        <f>SUMIFS('Daily Plan'!$H:$H,'Daily Plan'!$C:$C,$A8,'Daily Plan'!$A:$A,FQ$1)</f>
        <v/>
      </c>
      <c r="FR8" s="47">
        <f>SUMIFS('Daily Plan'!$H:$H,'Daily Plan'!$C:$C,$A8,'Daily Plan'!$A:$A,FR$1)</f>
        <v/>
      </c>
      <c r="FS8" s="47">
        <f>SUMIFS('Daily Plan'!$H:$H,'Daily Plan'!$C:$C,$A8,'Daily Plan'!$A:$A,FS$1)</f>
        <v/>
      </c>
    </row>
    <row r="9">
      <c r="A9" s="23" t="inlineStr">
        <is>
          <t>VAL-2</t>
        </is>
      </c>
      <c r="B9" s="23" t="inlineStr">
        <is>
          <t>校验</t>
        </is>
      </c>
      <c r="C9" s="2" t="inlineStr">
        <is>
          <t>中间数据校验</t>
        </is>
      </c>
      <c r="D9" s="43" t="n">
        <v>46223</v>
      </c>
      <c r="E9" s="43" t="n">
        <v>46227</v>
      </c>
      <c r="F9" s="23" t="inlineStr">
        <is>
          <t>pending</t>
        </is>
      </c>
      <c r="G9" s="44">
        <f>SUMIF('Daily Plan'!$C:$C,A9,'Daily Plan'!$H:$H)</f>
        <v/>
      </c>
      <c r="H9" s="44">
        <f>SUMIF('Daily Plan'!$C:$C,A9,'Daily Plan'!$I:$I)</f>
        <v/>
      </c>
      <c r="I9" s="44">
        <f>MAX(G9-H9,0)</f>
        <v/>
      </c>
      <c r="J9" s="25">
        <f>IF(G9=0,IF(F9="done",1,0),H9/G9)</f>
        <v/>
      </c>
      <c r="K9" s="2" t="inlineStr">
        <is>
          <t>VAL-1</t>
        </is>
      </c>
      <c r="L9" s="2" t="inlineStr">
        <is>
          <t>每日中间表校验报告</t>
        </is>
      </c>
      <c r="M9" s="47">
        <f>SUMIFS('Daily Plan'!$H:$H,'Daily Plan'!$C:$C,$A9,'Daily Plan'!$A:$A,M$1)</f>
        <v/>
      </c>
      <c r="N9" s="47">
        <f>SUMIFS('Daily Plan'!$H:$H,'Daily Plan'!$C:$C,$A9,'Daily Plan'!$A:$A,N$1)</f>
        <v/>
      </c>
      <c r="O9" s="47">
        <f>SUMIFS('Daily Plan'!$H:$H,'Daily Plan'!$C:$C,$A9,'Daily Plan'!$A:$A,O$1)</f>
        <v/>
      </c>
      <c r="P9" s="48">
        <f>SUMIFS('Daily Plan'!$H:$H,'Daily Plan'!$C:$C,$A9,'Daily Plan'!$A:$A,P$1)</f>
        <v/>
      </c>
      <c r="Q9" s="48">
        <f>SUMIFS('Daily Plan'!$H:$H,'Daily Plan'!$C:$C,$A9,'Daily Plan'!$A:$A,Q$1)</f>
        <v/>
      </c>
      <c r="R9" s="47">
        <f>SUMIFS('Daily Plan'!$H:$H,'Daily Plan'!$C:$C,$A9,'Daily Plan'!$A:$A,R$1)</f>
        <v/>
      </c>
      <c r="S9" s="47">
        <f>SUMIFS('Daily Plan'!$H:$H,'Daily Plan'!$C:$C,$A9,'Daily Plan'!$A:$A,S$1)</f>
        <v/>
      </c>
      <c r="T9" s="47">
        <f>SUMIFS('Daily Plan'!$H:$H,'Daily Plan'!$C:$C,$A9,'Daily Plan'!$A:$A,T$1)</f>
        <v/>
      </c>
      <c r="U9" s="47">
        <f>SUMIFS('Daily Plan'!$H:$H,'Daily Plan'!$C:$C,$A9,'Daily Plan'!$A:$A,U$1)</f>
        <v/>
      </c>
      <c r="V9" s="47">
        <f>SUMIFS('Daily Plan'!$H:$H,'Daily Plan'!$C:$C,$A9,'Daily Plan'!$A:$A,V$1)</f>
        <v/>
      </c>
      <c r="W9" s="48">
        <f>SUMIFS('Daily Plan'!$H:$H,'Daily Plan'!$C:$C,$A9,'Daily Plan'!$A:$A,W$1)</f>
        <v/>
      </c>
      <c r="X9" s="48">
        <f>SUMIFS('Daily Plan'!$H:$H,'Daily Plan'!$C:$C,$A9,'Daily Plan'!$A:$A,X$1)</f>
        <v/>
      </c>
      <c r="Y9" s="47">
        <f>SUMIFS('Daily Plan'!$H:$H,'Daily Plan'!$C:$C,$A9,'Daily Plan'!$A:$A,Y$1)</f>
        <v/>
      </c>
      <c r="Z9" s="47">
        <f>SUMIFS('Daily Plan'!$H:$H,'Daily Plan'!$C:$C,$A9,'Daily Plan'!$A:$A,Z$1)</f>
        <v/>
      </c>
      <c r="AA9" s="47">
        <f>SUMIFS('Daily Plan'!$H:$H,'Daily Plan'!$C:$C,$A9,'Daily Plan'!$A:$A,AA$1)</f>
        <v/>
      </c>
      <c r="AB9" s="47">
        <f>SUMIFS('Daily Plan'!$H:$H,'Daily Plan'!$C:$C,$A9,'Daily Plan'!$A:$A,AB$1)</f>
        <v/>
      </c>
      <c r="AC9" s="47">
        <f>SUMIFS('Daily Plan'!$H:$H,'Daily Plan'!$C:$C,$A9,'Daily Plan'!$A:$A,AC$1)</f>
        <v/>
      </c>
      <c r="AD9" s="48">
        <f>SUMIFS('Daily Plan'!$H:$H,'Daily Plan'!$C:$C,$A9,'Daily Plan'!$A:$A,AD$1)</f>
        <v/>
      </c>
      <c r="AE9" s="48">
        <f>SUMIFS('Daily Plan'!$H:$H,'Daily Plan'!$C:$C,$A9,'Daily Plan'!$A:$A,AE$1)</f>
        <v/>
      </c>
      <c r="AF9" s="47">
        <f>SUMIFS('Daily Plan'!$H:$H,'Daily Plan'!$C:$C,$A9,'Daily Plan'!$A:$A,AF$1)</f>
        <v/>
      </c>
      <c r="AG9" s="47">
        <f>SUMIFS('Daily Plan'!$H:$H,'Daily Plan'!$C:$C,$A9,'Daily Plan'!$A:$A,AG$1)</f>
        <v/>
      </c>
      <c r="AH9" s="47">
        <f>SUMIFS('Daily Plan'!$H:$H,'Daily Plan'!$C:$C,$A9,'Daily Plan'!$A:$A,AH$1)</f>
        <v/>
      </c>
      <c r="AI9" s="47">
        <f>SUMIFS('Daily Plan'!$H:$H,'Daily Plan'!$C:$C,$A9,'Daily Plan'!$A:$A,AI$1)</f>
        <v/>
      </c>
      <c r="AJ9" s="47">
        <f>SUMIFS('Daily Plan'!$H:$H,'Daily Plan'!$C:$C,$A9,'Daily Plan'!$A:$A,AJ$1)</f>
        <v/>
      </c>
      <c r="AK9" s="48">
        <f>SUMIFS('Daily Plan'!$H:$H,'Daily Plan'!$C:$C,$A9,'Daily Plan'!$A:$A,AK$1)</f>
        <v/>
      </c>
      <c r="AL9" s="48">
        <f>SUMIFS('Daily Plan'!$H:$H,'Daily Plan'!$C:$C,$A9,'Daily Plan'!$A:$A,AL$1)</f>
        <v/>
      </c>
      <c r="AM9" s="47">
        <f>SUMIFS('Daily Plan'!$H:$H,'Daily Plan'!$C:$C,$A9,'Daily Plan'!$A:$A,AM$1)</f>
        <v/>
      </c>
      <c r="AN9" s="47">
        <f>SUMIFS('Daily Plan'!$H:$H,'Daily Plan'!$C:$C,$A9,'Daily Plan'!$A:$A,AN$1)</f>
        <v/>
      </c>
      <c r="AO9" s="47">
        <f>SUMIFS('Daily Plan'!$H:$H,'Daily Plan'!$C:$C,$A9,'Daily Plan'!$A:$A,AO$1)</f>
        <v/>
      </c>
      <c r="AP9" s="47">
        <f>SUMIFS('Daily Plan'!$H:$H,'Daily Plan'!$C:$C,$A9,'Daily Plan'!$A:$A,AP$1)</f>
        <v/>
      </c>
      <c r="AQ9" s="47">
        <f>SUMIFS('Daily Plan'!$H:$H,'Daily Plan'!$C:$C,$A9,'Daily Plan'!$A:$A,AQ$1)</f>
        <v/>
      </c>
      <c r="AR9" s="48">
        <f>SUMIFS('Daily Plan'!$H:$H,'Daily Plan'!$C:$C,$A9,'Daily Plan'!$A:$A,AR$1)</f>
        <v/>
      </c>
      <c r="AS9" s="48">
        <f>SUMIFS('Daily Plan'!$H:$H,'Daily Plan'!$C:$C,$A9,'Daily Plan'!$A:$A,AS$1)</f>
        <v/>
      </c>
      <c r="AT9" s="47">
        <f>SUMIFS('Daily Plan'!$H:$H,'Daily Plan'!$C:$C,$A9,'Daily Plan'!$A:$A,AT$1)</f>
        <v/>
      </c>
      <c r="AU9" s="47">
        <f>SUMIFS('Daily Plan'!$H:$H,'Daily Plan'!$C:$C,$A9,'Daily Plan'!$A:$A,AU$1)</f>
        <v/>
      </c>
      <c r="AV9" s="47">
        <f>SUMIFS('Daily Plan'!$H:$H,'Daily Plan'!$C:$C,$A9,'Daily Plan'!$A:$A,AV$1)</f>
        <v/>
      </c>
      <c r="AW9" s="47">
        <f>SUMIFS('Daily Plan'!$H:$H,'Daily Plan'!$C:$C,$A9,'Daily Plan'!$A:$A,AW$1)</f>
        <v/>
      </c>
      <c r="AX9" s="47">
        <f>SUMIFS('Daily Plan'!$H:$H,'Daily Plan'!$C:$C,$A9,'Daily Plan'!$A:$A,AX$1)</f>
        <v/>
      </c>
      <c r="AY9" s="48">
        <f>SUMIFS('Daily Plan'!$H:$H,'Daily Plan'!$C:$C,$A9,'Daily Plan'!$A:$A,AY$1)</f>
        <v/>
      </c>
      <c r="AZ9" s="48">
        <f>SUMIFS('Daily Plan'!$H:$H,'Daily Plan'!$C:$C,$A9,'Daily Plan'!$A:$A,AZ$1)</f>
        <v/>
      </c>
      <c r="BA9" s="47">
        <f>SUMIFS('Daily Plan'!$H:$H,'Daily Plan'!$C:$C,$A9,'Daily Plan'!$A:$A,BA$1)</f>
        <v/>
      </c>
      <c r="BB9" s="47">
        <f>SUMIFS('Daily Plan'!$H:$H,'Daily Plan'!$C:$C,$A9,'Daily Plan'!$A:$A,BB$1)</f>
        <v/>
      </c>
      <c r="BC9" s="47">
        <f>SUMIFS('Daily Plan'!$H:$H,'Daily Plan'!$C:$C,$A9,'Daily Plan'!$A:$A,BC$1)</f>
        <v/>
      </c>
      <c r="BD9" s="47">
        <f>SUMIFS('Daily Plan'!$H:$H,'Daily Plan'!$C:$C,$A9,'Daily Plan'!$A:$A,BD$1)</f>
        <v/>
      </c>
      <c r="BE9" s="47">
        <f>SUMIFS('Daily Plan'!$H:$H,'Daily Plan'!$C:$C,$A9,'Daily Plan'!$A:$A,BE$1)</f>
        <v/>
      </c>
      <c r="BF9" s="48">
        <f>SUMIFS('Daily Plan'!$H:$H,'Daily Plan'!$C:$C,$A9,'Daily Plan'!$A:$A,BF$1)</f>
        <v/>
      </c>
      <c r="BG9" s="48">
        <f>SUMIFS('Daily Plan'!$H:$H,'Daily Plan'!$C:$C,$A9,'Daily Plan'!$A:$A,BG$1)</f>
        <v/>
      </c>
      <c r="BH9" s="47">
        <f>SUMIFS('Daily Plan'!$H:$H,'Daily Plan'!$C:$C,$A9,'Daily Plan'!$A:$A,BH$1)</f>
        <v/>
      </c>
      <c r="BI9" s="47">
        <f>SUMIFS('Daily Plan'!$H:$H,'Daily Plan'!$C:$C,$A9,'Daily Plan'!$A:$A,BI$1)</f>
        <v/>
      </c>
      <c r="BJ9" s="47">
        <f>SUMIFS('Daily Plan'!$H:$H,'Daily Plan'!$C:$C,$A9,'Daily Plan'!$A:$A,BJ$1)</f>
        <v/>
      </c>
      <c r="BK9" s="47">
        <f>SUMIFS('Daily Plan'!$H:$H,'Daily Plan'!$C:$C,$A9,'Daily Plan'!$A:$A,BK$1)</f>
        <v/>
      </c>
      <c r="BL9" s="47">
        <f>SUMIFS('Daily Plan'!$H:$H,'Daily Plan'!$C:$C,$A9,'Daily Plan'!$A:$A,BL$1)</f>
        <v/>
      </c>
      <c r="BM9" s="48">
        <f>SUMIFS('Daily Plan'!$H:$H,'Daily Plan'!$C:$C,$A9,'Daily Plan'!$A:$A,BM$1)</f>
        <v/>
      </c>
      <c r="BN9" s="48">
        <f>SUMIFS('Daily Plan'!$H:$H,'Daily Plan'!$C:$C,$A9,'Daily Plan'!$A:$A,BN$1)</f>
        <v/>
      </c>
      <c r="BO9" s="47">
        <f>SUMIFS('Daily Plan'!$H:$H,'Daily Plan'!$C:$C,$A9,'Daily Plan'!$A:$A,BO$1)</f>
        <v/>
      </c>
      <c r="BP9" s="47">
        <f>SUMIFS('Daily Plan'!$H:$H,'Daily Plan'!$C:$C,$A9,'Daily Plan'!$A:$A,BP$1)</f>
        <v/>
      </c>
      <c r="BQ9" s="47">
        <f>SUMIFS('Daily Plan'!$H:$H,'Daily Plan'!$C:$C,$A9,'Daily Plan'!$A:$A,BQ$1)</f>
        <v/>
      </c>
      <c r="BR9" s="47">
        <f>SUMIFS('Daily Plan'!$H:$H,'Daily Plan'!$C:$C,$A9,'Daily Plan'!$A:$A,BR$1)</f>
        <v/>
      </c>
      <c r="BS9" s="47">
        <f>SUMIFS('Daily Plan'!$H:$H,'Daily Plan'!$C:$C,$A9,'Daily Plan'!$A:$A,BS$1)</f>
        <v/>
      </c>
      <c r="BT9" s="48">
        <f>SUMIFS('Daily Plan'!$H:$H,'Daily Plan'!$C:$C,$A9,'Daily Plan'!$A:$A,BT$1)</f>
        <v/>
      </c>
      <c r="BU9" s="48">
        <f>SUMIFS('Daily Plan'!$H:$H,'Daily Plan'!$C:$C,$A9,'Daily Plan'!$A:$A,BU$1)</f>
        <v/>
      </c>
      <c r="BV9" s="47">
        <f>SUMIFS('Daily Plan'!$H:$H,'Daily Plan'!$C:$C,$A9,'Daily Plan'!$A:$A,BV$1)</f>
        <v/>
      </c>
      <c r="BW9" s="47">
        <f>SUMIFS('Daily Plan'!$H:$H,'Daily Plan'!$C:$C,$A9,'Daily Plan'!$A:$A,BW$1)</f>
        <v/>
      </c>
      <c r="BX9" s="47">
        <f>SUMIFS('Daily Plan'!$H:$H,'Daily Plan'!$C:$C,$A9,'Daily Plan'!$A:$A,BX$1)</f>
        <v/>
      </c>
      <c r="BY9" s="47">
        <f>SUMIFS('Daily Plan'!$H:$H,'Daily Plan'!$C:$C,$A9,'Daily Plan'!$A:$A,BY$1)</f>
        <v/>
      </c>
      <c r="BZ9" s="47">
        <f>SUMIFS('Daily Plan'!$H:$H,'Daily Plan'!$C:$C,$A9,'Daily Plan'!$A:$A,BZ$1)</f>
        <v/>
      </c>
      <c r="CA9" s="48">
        <f>SUMIFS('Daily Plan'!$H:$H,'Daily Plan'!$C:$C,$A9,'Daily Plan'!$A:$A,CA$1)</f>
        <v/>
      </c>
      <c r="CB9" s="48">
        <f>SUMIFS('Daily Plan'!$H:$H,'Daily Plan'!$C:$C,$A9,'Daily Plan'!$A:$A,CB$1)</f>
        <v/>
      </c>
      <c r="CC9" s="47">
        <f>SUMIFS('Daily Plan'!$H:$H,'Daily Plan'!$C:$C,$A9,'Daily Plan'!$A:$A,CC$1)</f>
        <v/>
      </c>
      <c r="CD9" s="47">
        <f>SUMIFS('Daily Plan'!$H:$H,'Daily Plan'!$C:$C,$A9,'Daily Plan'!$A:$A,CD$1)</f>
        <v/>
      </c>
      <c r="CE9" s="47">
        <f>SUMIFS('Daily Plan'!$H:$H,'Daily Plan'!$C:$C,$A9,'Daily Plan'!$A:$A,CE$1)</f>
        <v/>
      </c>
      <c r="CF9" s="47">
        <f>SUMIFS('Daily Plan'!$H:$H,'Daily Plan'!$C:$C,$A9,'Daily Plan'!$A:$A,CF$1)</f>
        <v/>
      </c>
      <c r="CG9" s="47">
        <f>SUMIFS('Daily Plan'!$H:$H,'Daily Plan'!$C:$C,$A9,'Daily Plan'!$A:$A,CG$1)</f>
        <v/>
      </c>
      <c r="CH9" s="48">
        <f>SUMIFS('Daily Plan'!$H:$H,'Daily Plan'!$C:$C,$A9,'Daily Plan'!$A:$A,CH$1)</f>
        <v/>
      </c>
      <c r="CI9" s="48">
        <f>SUMIFS('Daily Plan'!$H:$H,'Daily Plan'!$C:$C,$A9,'Daily Plan'!$A:$A,CI$1)</f>
        <v/>
      </c>
      <c r="CJ9" s="47">
        <f>SUMIFS('Daily Plan'!$H:$H,'Daily Plan'!$C:$C,$A9,'Daily Plan'!$A:$A,CJ$1)</f>
        <v/>
      </c>
      <c r="CK9" s="47">
        <f>SUMIFS('Daily Plan'!$H:$H,'Daily Plan'!$C:$C,$A9,'Daily Plan'!$A:$A,CK$1)</f>
        <v/>
      </c>
      <c r="CL9" s="47">
        <f>SUMIFS('Daily Plan'!$H:$H,'Daily Plan'!$C:$C,$A9,'Daily Plan'!$A:$A,CL$1)</f>
        <v/>
      </c>
      <c r="CM9" s="47">
        <f>SUMIFS('Daily Plan'!$H:$H,'Daily Plan'!$C:$C,$A9,'Daily Plan'!$A:$A,CM$1)</f>
        <v/>
      </c>
      <c r="CN9" s="47">
        <f>SUMIFS('Daily Plan'!$H:$H,'Daily Plan'!$C:$C,$A9,'Daily Plan'!$A:$A,CN$1)</f>
        <v/>
      </c>
      <c r="CO9" s="48">
        <f>SUMIFS('Daily Plan'!$H:$H,'Daily Plan'!$C:$C,$A9,'Daily Plan'!$A:$A,CO$1)</f>
        <v/>
      </c>
      <c r="CP9" s="48">
        <f>SUMIFS('Daily Plan'!$H:$H,'Daily Plan'!$C:$C,$A9,'Daily Plan'!$A:$A,CP$1)</f>
        <v/>
      </c>
      <c r="CQ9" s="47">
        <f>SUMIFS('Daily Plan'!$H:$H,'Daily Plan'!$C:$C,$A9,'Daily Plan'!$A:$A,CQ$1)</f>
        <v/>
      </c>
      <c r="CR9" s="47">
        <f>SUMIFS('Daily Plan'!$H:$H,'Daily Plan'!$C:$C,$A9,'Daily Plan'!$A:$A,CR$1)</f>
        <v/>
      </c>
      <c r="CS9" s="47">
        <f>SUMIFS('Daily Plan'!$H:$H,'Daily Plan'!$C:$C,$A9,'Daily Plan'!$A:$A,CS$1)</f>
        <v/>
      </c>
      <c r="CT9" s="47">
        <f>SUMIFS('Daily Plan'!$H:$H,'Daily Plan'!$C:$C,$A9,'Daily Plan'!$A:$A,CT$1)</f>
        <v/>
      </c>
      <c r="CU9" s="47">
        <f>SUMIFS('Daily Plan'!$H:$H,'Daily Plan'!$C:$C,$A9,'Daily Plan'!$A:$A,CU$1)</f>
        <v/>
      </c>
      <c r="CV9" s="48">
        <f>SUMIFS('Daily Plan'!$H:$H,'Daily Plan'!$C:$C,$A9,'Daily Plan'!$A:$A,CV$1)</f>
        <v/>
      </c>
      <c r="CW9" s="48">
        <f>SUMIFS('Daily Plan'!$H:$H,'Daily Plan'!$C:$C,$A9,'Daily Plan'!$A:$A,CW$1)</f>
        <v/>
      </c>
      <c r="CX9" s="47">
        <f>SUMIFS('Daily Plan'!$H:$H,'Daily Plan'!$C:$C,$A9,'Daily Plan'!$A:$A,CX$1)</f>
        <v/>
      </c>
      <c r="CY9" s="47">
        <f>SUMIFS('Daily Plan'!$H:$H,'Daily Plan'!$C:$C,$A9,'Daily Plan'!$A:$A,CY$1)</f>
        <v/>
      </c>
      <c r="CZ9" s="47">
        <f>SUMIFS('Daily Plan'!$H:$H,'Daily Plan'!$C:$C,$A9,'Daily Plan'!$A:$A,CZ$1)</f>
        <v/>
      </c>
      <c r="DA9" s="47">
        <f>SUMIFS('Daily Plan'!$H:$H,'Daily Plan'!$C:$C,$A9,'Daily Plan'!$A:$A,DA$1)</f>
        <v/>
      </c>
      <c r="DB9" s="47">
        <f>SUMIFS('Daily Plan'!$H:$H,'Daily Plan'!$C:$C,$A9,'Daily Plan'!$A:$A,DB$1)</f>
        <v/>
      </c>
      <c r="DC9" s="48">
        <f>SUMIFS('Daily Plan'!$H:$H,'Daily Plan'!$C:$C,$A9,'Daily Plan'!$A:$A,DC$1)</f>
        <v/>
      </c>
      <c r="DD9" s="48">
        <f>SUMIFS('Daily Plan'!$H:$H,'Daily Plan'!$C:$C,$A9,'Daily Plan'!$A:$A,DD$1)</f>
        <v/>
      </c>
      <c r="DE9" s="47">
        <f>SUMIFS('Daily Plan'!$H:$H,'Daily Plan'!$C:$C,$A9,'Daily Plan'!$A:$A,DE$1)</f>
        <v/>
      </c>
      <c r="DF9" s="47">
        <f>SUMIFS('Daily Plan'!$H:$H,'Daily Plan'!$C:$C,$A9,'Daily Plan'!$A:$A,DF$1)</f>
        <v/>
      </c>
      <c r="DG9" s="47">
        <f>SUMIFS('Daily Plan'!$H:$H,'Daily Plan'!$C:$C,$A9,'Daily Plan'!$A:$A,DG$1)</f>
        <v/>
      </c>
      <c r="DH9" s="47">
        <f>SUMIFS('Daily Plan'!$H:$H,'Daily Plan'!$C:$C,$A9,'Daily Plan'!$A:$A,DH$1)</f>
        <v/>
      </c>
      <c r="DI9" s="47">
        <f>SUMIFS('Daily Plan'!$H:$H,'Daily Plan'!$C:$C,$A9,'Daily Plan'!$A:$A,DI$1)</f>
        <v/>
      </c>
      <c r="DJ9" s="48">
        <f>SUMIFS('Daily Plan'!$H:$H,'Daily Plan'!$C:$C,$A9,'Daily Plan'!$A:$A,DJ$1)</f>
        <v/>
      </c>
      <c r="DK9" s="48">
        <f>SUMIFS('Daily Plan'!$H:$H,'Daily Plan'!$C:$C,$A9,'Daily Plan'!$A:$A,DK$1)</f>
        <v/>
      </c>
      <c r="DL9" s="47">
        <f>SUMIFS('Daily Plan'!$H:$H,'Daily Plan'!$C:$C,$A9,'Daily Plan'!$A:$A,DL$1)</f>
        <v/>
      </c>
      <c r="DM9" s="47">
        <f>SUMIFS('Daily Plan'!$H:$H,'Daily Plan'!$C:$C,$A9,'Daily Plan'!$A:$A,DM$1)</f>
        <v/>
      </c>
      <c r="DN9" s="47">
        <f>SUMIFS('Daily Plan'!$H:$H,'Daily Plan'!$C:$C,$A9,'Daily Plan'!$A:$A,DN$1)</f>
        <v/>
      </c>
      <c r="DO9" s="47">
        <f>SUMIFS('Daily Plan'!$H:$H,'Daily Plan'!$C:$C,$A9,'Daily Plan'!$A:$A,DO$1)</f>
        <v/>
      </c>
      <c r="DP9" s="47">
        <f>SUMIFS('Daily Plan'!$H:$H,'Daily Plan'!$C:$C,$A9,'Daily Plan'!$A:$A,DP$1)</f>
        <v/>
      </c>
      <c r="DQ9" s="48">
        <f>SUMIFS('Daily Plan'!$H:$H,'Daily Plan'!$C:$C,$A9,'Daily Plan'!$A:$A,DQ$1)</f>
        <v/>
      </c>
      <c r="DR9" s="48">
        <f>SUMIFS('Daily Plan'!$H:$H,'Daily Plan'!$C:$C,$A9,'Daily Plan'!$A:$A,DR$1)</f>
        <v/>
      </c>
      <c r="DS9" s="47">
        <f>SUMIFS('Daily Plan'!$H:$H,'Daily Plan'!$C:$C,$A9,'Daily Plan'!$A:$A,DS$1)</f>
        <v/>
      </c>
      <c r="DT9" s="47">
        <f>SUMIFS('Daily Plan'!$H:$H,'Daily Plan'!$C:$C,$A9,'Daily Plan'!$A:$A,DT$1)</f>
        <v/>
      </c>
      <c r="DU9" s="47">
        <f>SUMIFS('Daily Plan'!$H:$H,'Daily Plan'!$C:$C,$A9,'Daily Plan'!$A:$A,DU$1)</f>
        <v/>
      </c>
      <c r="DV9" s="47">
        <f>SUMIFS('Daily Plan'!$H:$H,'Daily Plan'!$C:$C,$A9,'Daily Plan'!$A:$A,DV$1)</f>
        <v/>
      </c>
      <c r="DW9" s="47">
        <f>SUMIFS('Daily Plan'!$H:$H,'Daily Plan'!$C:$C,$A9,'Daily Plan'!$A:$A,DW$1)</f>
        <v/>
      </c>
      <c r="DX9" s="48">
        <f>SUMIFS('Daily Plan'!$H:$H,'Daily Plan'!$C:$C,$A9,'Daily Plan'!$A:$A,DX$1)</f>
        <v/>
      </c>
      <c r="DY9" s="48">
        <f>SUMIFS('Daily Plan'!$H:$H,'Daily Plan'!$C:$C,$A9,'Daily Plan'!$A:$A,DY$1)</f>
        <v/>
      </c>
      <c r="DZ9" s="47">
        <f>SUMIFS('Daily Plan'!$H:$H,'Daily Plan'!$C:$C,$A9,'Daily Plan'!$A:$A,DZ$1)</f>
        <v/>
      </c>
      <c r="EA9" s="47">
        <f>SUMIFS('Daily Plan'!$H:$H,'Daily Plan'!$C:$C,$A9,'Daily Plan'!$A:$A,EA$1)</f>
        <v/>
      </c>
      <c r="EB9" s="47">
        <f>SUMIFS('Daily Plan'!$H:$H,'Daily Plan'!$C:$C,$A9,'Daily Plan'!$A:$A,EB$1)</f>
        <v/>
      </c>
      <c r="EC9" s="47">
        <f>SUMIFS('Daily Plan'!$H:$H,'Daily Plan'!$C:$C,$A9,'Daily Plan'!$A:$A,EC$1)</f>
        <v/>
      </c>
      <c r="ED9" s="47">
        <f>SUMIFS('Daily Plan'!$H:$H,'Daily Plan'!$C:$C,$A9,'Daily Plan'!$A:$A,ED$1)</f>
        <v/>
      </c>
      <c r="EE9" s="48">
        <f>SUMIFS('Daily Plan'!$H:$H,'Daily Plan'!$C:$C,$A9,'Daily Plan'!$A:$A,EE$1)</f>
        <v/>
      </c>
      <c r="EF9" s="48">
        <f>SUMIFS('Daily Plan'!$H:$H,'Daily Plan'!$C:$C,$A9,'Daily Plan'!$A:$A,EF$1)</f>
        <v/>
      </c>
      <c r="EG9" s="47">
        <f>SUMIFS('Daily Plan'!$H:$H,'Daily Plan'!$C:$C,$A9,'Daily Plan'!$A:$A,EG$1)</f>
        <v/>
      </c>
      <c r="EH9" s="47">
        <f>SUMIFS('Daily Plan'!$H:$H,'Daily Plan'!$C:$C,$A9,'Daily Plan'!$A:$A,EH$1)</f>
        <v/>
      </c>
      <c r="EI9" s="47">
        <f>SUMIFS('Daily Plan'!$H:$H,'Daily Plan'!$C:$C,$A9,'Daily Plan'!$A:$A,EI$1)</f>
        <v/>
      </c>
      <c r="EJ9" s="47">
        <f>SUMIFS('Daily Plan'!$H:$H,'Daily Plan'!$C:$C,$A9,'Daily Plan'!$A:$A,EJ$1)</f>
        <v/>
      </c>
      <c r="EK9" s="47">
        <f>SUMIFS('Daily Plan'!$H:$H,'Daily Plan'!$C:$C,$A9,'Daily Plan'!$A:$A,EK$1)</f>
        <v/>
      </c>
      <c r="EL9" s="48">
        <f>SUMIFS('Daily Plan'!$H:$H,'Daily Plan'!$C:$C,$A9,'Daily Plan'!$A:$A,EL$1)</f>
        <v/>
      </c>
      <c r="EM9" s="48">
        <f>SUMIFS('Daily Plan'!$H:$H,'Daily Plan'!$C:$C,$A9,'Daily Plan'!$A:$A,EM$1)</f>
        <v/>
      </c>
      <c r="EN9" s="47">
        <f>SUMIFS('Daily Plan'!$H:$H,'Daily Plan'!$C:$C,$A9,'Daily Plan'!$A:$A,EN$1)</f>
        <v/>
      </c>
      <c r="EO9" s="47">
        <f>SUMIFS('Daily Plan'!$H:$H,'Daily Plan'!$C:$C,$A9,'Daily Plan'!$A:$A,EO$1)</f>
        <v/>
      </c>
      <c r="EP9" s="47">
        <f>SUMIFS('Daily Plan'!$H:$H,'Daily Plan'!$C:$C,$A9,'Daily Plan'!$A:$A,EP$1)</f>
        <v/>
      </c>
      <c r="EQ9" s="47">
        <f>SUMIFS('Daily Plan'!$H:$H,'Daily Plan'!$C:$C,$A9,'Daily Plan'!$A:$A,EQ$1)</f>
        <v/>
      </c>
      <c r="ER9" s="47">
        <f>SUMIFS('Daily Plan'!$H:$H,'Daily Plan'!$C:$C,$A9,'Daily Plan'!$A:$A,ER$1)</f>
        <v/>
      </c>
      <c r="ES9" s="48">
        <f>SUMIFS('Daily Plan'!$H:$H,'Daily Plan'!$C:$C,$A9,'Daily Plan'!$A:$A,ES$1)</f>
        <v/>
      </c>
      <c r="ET9" s="48">
        <f>SUMIFS('Daily Plan'!$H:$H,'Daily Plan'!$C:$C,$A9,'Daily Plan'!$A:$A,ET$1)</f>
        <v/>
      </c>
      <c r="EU9" s="47">
        <f>SUMIFS('Daily Plan'!$H:$H,'Daily Plan'!$C:$C,$A9,'Daily Plan'!$A:$A,EU$1)</f>
        <v/>
      </c>
      <c r="EV9" s="47">
        <f>SUMIFS('Daily Plan'!$H:$H,'Daily Plan'!$C:$C,$A9,'Daily Plan'!$A:$A,EV$1)</f>
        <v/>
      </c>
      <c r="EW9" s="47">
        <f>SUMIFS('Daily Plan'!$H:$H,'Daily Plan'!$C:$C,$A9,'Daily Plan'!$A:$A,EW$1)</f>
        <v/>
      </c>
      <c r="EX9" s="47">
        <f>SUMIFS('Daily Plan'!$H:$H,'Daily Plan'!$C:$C,$A9,'Daily Plan'!$A:$A,EX$1)</f>
        <v/>
      </c>
      <c r="EY9" s="47">
        <f>SUMIFS('Daily Plan'!$H:$H,'Daily Plan'!$C:$C,$A9,'Daily Plan'!$A:$A,EY$1)</f>
        <v/>
      </c>
      <c r="EZ9" s="48">
        <f>SUMIFS('Daily Plan'!$H:$H,'Daily Plan'!$C:$C,$A9,'Daily Plan'!$A:$A,EZ$1)</f>
        <v/>
      </c>
      <c r="FA9" s="48">
        <f>SUMIFS('Daily Plan'!$H:$H,'Daily Plan'!$C:$C,$A9,'Daily Plan'!$A:$A,FA$1)</f>
        <v/>
      </c>
      <c r="FB9" s="47">
        <f>SUMIFS('Daily Plan'!$H:$H,'Daily Plan'!$C:$C,$A9,'Daily Plan'!$A:$A,FB$1)</f>
        <v/>
      </c>
      <c r="FC9" s="47">
        <f>SUMIFS('Daily Plan'!$H:$H,'Daily Plan'!$C:$C,$A9,'Daily Plan'!$A:$A,FC$1)</f>
        <v/>
      </c>
      <c r="FD9" s="47">
        <f>SUMIFS('Daily Plan'!$H:$H,'Daily Plan'!$C:$C,$A9,'Daily Plan'!$A:$A,FD$1)</f>
        <v/>
      </c>
      <c r="FE9" s="47">
        <f>SUMIFS('Daily Plan'!$H:$H,'Daily Plan'!$C:$C,$A9,'Daily Plan'!$A:$A,FE$1)</f>
        <v/>
      </c>
      <c r="FF9" s="47">
        <f>SUMIFS('Daily Plan'!$H:$H,'Daily Plan'!$C:$C,$A9,'Daily Plan'!$A:$A,FF$1)</f>
        <v/>
      </c>
      <c r="FG9" s="48">
        <f>SUMIFS('Daily Plan'!$H:$H,'Daily Plan'!$C:$C,$A9,'Daily Plan'!$A:$A,FG$1)</f>
        <v/>
      </c>
      <c r="FH9" s="48">
        <f>SUMIFS('Daily Plan'!$H:$H,'Daily Plan'!$C:$C,$A9,'Daily Plan'!$A:$A,FH$1)</f>
        <v/>
      </c>
      <c r="FI9" s="47">
        <f>SUMIFS('Daily Plan'!$H:$H,'Daily Plan'!$C:$C,$A9,'Daily Plan'!$A:$A,FI$1)</f>
        <v/>
      </c>
      <c r="FJ9" s="47">
        <f>SUMIFS('Daily Plan'!$H:$H,'Daily Plan'!$C:$C,$A9,'Daily Plan'!$A:$A,FJ$1)</f>
        <v/>
      </c>
      <c r="FK9" s="47">
        <f>SUMIFS('Daily Plan'!$H:$H,'Daily Plan'!$C:$C,$A9,'Daily Plan'!$A:$A,FK$1)</f>
        <v/>
      </c>
      <c r="FL9" s="47">
        <f>SUMIFS('Daily Plan'!$H:$H,'Daily Plan'!$C:$C,$A9,'Daily Plan'!$A:$A,FL$1)</f>
        <v/>
      </c>
      <c r="FM9" s="47">
        <f>SUMIFS('Daily Plan'!$H:$H,'Daily Plan'!$C:$C,$A9,'Daily Plan'!$A:$A,FM$1)</f>
        <v/>
      </c>
      <c r="FN9" s="48">
        <f>SUMIFS('Daily Plan'!$H:$H,'Daily Plan'!$C:$C,$A9,'Daily Plan'!$A:$A,FN$1)</f>
        <v/>
      </c>
      <c r="FO9" s="48">
        <f>SUMIFS('Daily Plan'!$H:$H,'Daily Plan'!$C:$C,$A9,'Daily Plan'!$A:$A,FO$1)</f>
        <v/>
      </c>
      <c r="FP9" s="47">
        <f>SUMIFS('Daily Plan'!$H:$H,'Daily Plan'!$C:$C,$A9,'Daily Plan'!$A:$A,FP$1)</f>
        <v/>
      </c>
      <c r="FQ9" s="47">
        <f>SUMIFS('Daily Plan'!$H:$H,'Daily Plan'!$C:$C,$A9,'Daily Plan'!$A:$A,FQ$1)</f>
        <v/>
      </c>
      <c r="FR9" s="47">
        <f>SUMIFS('Daily Plan'!$H:$H,'Daily Plan'!$C:$C,$A9,'Daily Plan'!$A:$A,FR$1)</f>
        <v/>
      </c>
      <c r="FS9" s="47">
        <f>SUMIFS('Daily Plan'!$H:$H,'Daily Plan'!$C:$C,$A9,'Daily Plan'!$A:$A,FS$1)</f>
        <v/>
      </c>
    </row>
    <row r="10">
      <c r="A10" s="23" t="inlineStr">
        <is>
          <t>TEST-1</t>
        </is>
      </c>
      <c r="B10" s="23" t="inlineStr">
        <is>
          <t>测试</t>
        </is>
      </c>
      <c r="C10" s="2" t="inlineStr">
        <is>
          <t>E2E 网络构建</t>
        </is>
      </c>
      <c r="D10" s="43" t="n">
        <v>46230</v>
      </c>
      <c r="E10" s="43" t="n">
        <v>46248</v>
      </c>
      <c r="F10" s="23" t="inlineStr">
        <is>
          <t>pending</t>
        </is>
      </c>
      <c r="G10" s="44">
        <f>SUMIF('Daily Plan'!$C:$C,A10,'Daily Plan'!$H:$H)</f>
        <v/>
      </c>
      <c r="H10" s="44">
        <f>SUMIF('Daily Plan'!$C:$C,A10,'Daily Plan'!$I:$I)</f>
        <v/>
      </c>
      <c r="I10" s="44">
        <f>MAX(G10-H10,0)</f>
        <v/>
      </c>
      <c r="J10" s="25">
        <f>IF(G10=0,IF(F10="done",1,0),H10/G10)</f>
        <v/>
      </c>
      <c r="K10" s="2" t="inlineStr">
        <is>
          <t>MLE/VAL</t>
        </is>
      </c>
      <c r="L10" s="2" t="inlineStr">
        <is>
          <t>30 天 E2E 成功跑通</t>
        </is>
      </c>
      <c r="M10" s="47">
        <f>SUMIFS('Daily Plan'!$H:$H,'Daily Plan'!$C:$C,$A10,'Daily Plan'!$A:$A,M$1)</f>
        <v/>
      </c>
      <c r="N10" s="47">
        <f>SUMIFS('Daily Plan'!$H:$H,'Daily Plan'!$C:$C,$A10,'Daily Plan'!$A:$A,N$1)</f>
        <v/>
      </c>
      <c r="O10" s="47">
        <f>SUMIFS('Daily Plan'!$H:$H,'Daily Plan'!$C:$C,$A10,'Daily Plan'!$A:$A,O$1)</f>
        <v/>
      </c>
      <c r="P10" s="48">
        <f>SUMIFS('Daily Plan'!$H:$H,'Daily Plan'!$C:$C,$A10,'Daily Plan'!$A:$A,P$1)</f>
        <v/>
      </c>
      <c r="Q10" s="48">
        <f>SUMIFS('Daily Plan'!$H:$H,'Daily Plan'!$C:$C,$A10,'Daily Plan'!$A:$A,Q$1)</f>
        <v/>
      </c>
      <c r="R10" s="47">
        <f>SUMIFS('Daily Plan'!$H:$H,'Daily Plan'!$C:$C,$A10,'Daily Plan'!$A:$A,R$1)</f>
        <v/>
      </c>
      <c r="S10" s="47">
        <f>SUMIFS('Daily Plan'!$H:$H,'Daily Plan'!$C:$C,$A10,'Daily Plan'!$A:$A,S$1)</f>
        <v/>
      </c>
      <c r="T10" s="47">
        <f>SUMIFS('Daily Plan'!$H:$H,'Daily Plan'!$C:$C,$A10,'Daily Plan'!$A:$A,T$1)</f>
        <v/>
      </c>
      <c r="U10" s="47">
        <f>SUMIFS('Daily Plan'!$H:$H,'Daily Plan'!$C:$C,$A10,'Daily Plan'!$A:$A,U$1)</f>
        <v/>
      </c>
      <c r="V10" s="47">
        <f>SUMIFS('Daily Plan'!$H:$H,'Daily Plan'!$C:$C,$A10,'Daily Plan'!$A:$A,V$1)</f>
        <v/>
      </c>
      <c r="W10" s="48">
        <f>SUMIFS('Daily Plan'!$H:$H,'Daily Plan'!$C:$C,$A10,'Daily Plan'!$A:$A,W$1)</f>
        <v/>
      </c>
      <c r="X10" s="48">
        <f>SUMIFS('Daily Plan'!$H:$H,'Daily Plan'!$C:$C,$A10,'Daily Plan'!$A:$A,X$1)</f>
        <v/>
      </c>
      <c r="Y10" s="47">
        <f>SUMIFS('Daily Plan'!$H:$H,'Daily Plan'!$C:$C,$A10,'Daily Plan'!$A:$A,Y$1)</f>
        <v/>
      </c>
      <c r="Z10" s="47">
        <f>SUMIFS('Daily Plan'!$H:$H,'Daily Plan'!$C:$C,$A10,'Daily Plan'!$A:$A,Z$1)</f>
        <v/>
      </c>
      <c r="AA10" s="47">
        <f>SUMIFS('Daily Plan'!$H:$H,'Daily Plan'!$C:$C,$A10,'Daily Plan'!$A:$A,AA$1)</f>
        <v/>
      </c>
      <c r="AB10" s="47">
        <f>SUMIFS('Daily Plan'!$H:$H,'Daily Plan'!$C:$C,$A10,'Daily Plan'!$A:$A,AB$1)</f>
        <v/>
      </c>
      <c r="AC10" s="47">
        <f>SUMIFS('Daily Plan'!$H:$H,'Daily Plan'!$C:$C,$A10,'Daily Plan'!$A:$A,AC$1)</f>
        <v/>
      </c>
      <c r="AD10" s="48">
        <f>SUMIFS('Daily Plan'!$H:$H,'Daily Plan'!$C:$C,$A10,'Daily Plan'!$A:$A,AD$1)</f>
        <v/>
      </c>
      <c r="AE10" s="48">
        <f>SUMIFS('Daily Plan'!$H:$H,'Daily Plan'!$C:$C,$A10,'Daily Plan'!$A:$A,AE$1)</f>
        <v/>
      </c>
      <c r="AF10" s="47">
        <f>SUMIFS('Daily Plan'!$H:$H,'Daily Plan'!$C:$C,$A10,'Daily Plan'!$A:$A,AF$1)</f>
        <v/>
      </c>
      <c r="AG10" s="47">
        <f>SUMIFS('Daily Plan'!$H:$H,'Daily Plan'!$C:$C,$A10,'Daily Plan'!$A:$A,AG$1)</f>
        <v/>
      </c>
      <c r="AH10" s="47">
        <f>SUMIFS('Daily Plan'!$H:$H,'Daily Plan'!$C:$C,$A10,'Daily Plan'!$A:$A,AH$1)</f>
        <v/>
      </c>
      <c r="AI10" s="47">
        <f>SUMIFS('Daily Plan'!$H:$H,'Daily Plan'!$C:$C,$A10,'Daily Plan'!$A:$A,AI$1)</f>
        <v/>
      </c>
      <c r="AJ10" s="47">
        <f>SUMIFS('Daily Plan'!$H:$H,'Daily Plan'!$C:$C,$A10,'Daily Plan'!$A:$A,AJ$1)</f>
        <v/>
      </c>
      <c r="AK10" s="48">
        <f>SUMIFS('Daily Plan'!$H:$H,'Daily Plan'!$C:$C,$A10,'Daily Plan'!$A:$A,AK$1)</f>
        <v/>
      </c>
      <c r="AL10" s="48">
        <f>SUMIFS('Daily Plan'!$H:$H,'Daily Plan'!$C:$C,$A10,'Daily Plan'!$A:$A,AL$1)</f>
        <v/>
      </c>
      <c r="AM10" s="47">
        <f>SUMIFS('Daily Plan'!$H:$H,'Daily Plan'!$C:$C,$A10,'Daily Plan'!$A:$A,AM$1)</f>
        <v/>
      </c>
      <c r="AN10" s="47">
        <f>SUMIFS('Daily Plan'!$H:$H,'Daily Plan'!$C:$C,$A10,'Daily Plan'!$A:$A,AN$1)</f>
        <v/>
      </c>
      <c r="AO10" s="47">
        <f>SUMIFS('Daily Plan'!$H:$H,'Daily Plan'!$C:$C,$A10,'Daily Plan'!$A:$A,AO$1)</f>
        <v/>
      </c>
      <c r="AP10" s="47">
        <f>SUMIFS('Daily Plan'!$H:$H,'Daily Plan'!$C:$C,$A10,'Daily Plan'!$A:$A,AP$1)</f>
        <v/>
      </c>
      <c r="AQ10" s="47">
        <f>SUMIFS('Daily Plan'!$H:$H,'Daily Plan'!$C:$C,$A10,'Daily Plan'!$A:$A,AQ$1)</f>
        <v/>
      </c>
      <c r="AR10" s="48">
        <f>SUMIFS('Daily Plan'!$H:$H,'Daily Plan'!$C:$C,$A10,'Daily Plan'!$A:$A,AR$1)</f>
        <v/>
      </c>
      <c r="AS10" s="48">
        <f>SUMIFS('Daily Plan'!$H:$H,'Daily Plan'!$C:$C,$A10,'Daily Plan'!$A:$A,AS$1)</f>
        <v/>
      </c>
      <c r="AT10" s="47">
        <f>SUMIFS('Daily Plan'!$H:$H,'Daily Plan'!$C:$C,$A10,'Daily Plan'!$A:$A,AT$1)</f>
        <v/>
      </c>
      <c r="AU10" s="47">
        <f>SUMIFS('Daily Plan'!$H:$H,'Daily Plan'!$C:$C,$A10,'Daily Plan'!$A:$A,AU$1)</f>
        <v/>
      </c>
      <c r="AV10" s="47">
        <f>SUMIFS('Daily Plan'!$H:$H,'Daily Plan'!$C:$C,$A10,'Daily Plan'!$A:$A,AV$1)</f>
        <v/>
      </c>
      <c r="AW10" s="47">
        <f>SUMIFS('Daily Plan'!$H:$H,'Daily Plan'!$C:$C,$A10,'Daily Plan'!$A:$A,AW$1)</f>
        <v/>
      </c>
      <c r="AX10" s="47">
        <f>SUMIFS('Daily Plan'!$H:$H,'Daily Plan'!$C:$C,$A10,'Daily Plan'!$A:$A,AX$1)</f>
        <v/>
      </c>
      <c r="AY10" s="48">
        <f>SUMIFS('Daily Plan'!$H:$H,'Daily Plan'!$C:$C,$A10,'Daily Plan'!$A:$A,AY$1)</f>
        <v/>
      </c>
      <c r="AZ10" s="48">
        <f>SUMIFS('Daily Plan'!$H:$H,'Daily Plan'!$C:$C,$A10,'Daily Plan'!$A:$A,AZ$1)</f>
        <v/>
      </c>
      <c r="BA10" s="47">
        <f>SUMIFS('Daily Plan'!$H:$H,'Daily Plan'!$C:$C,$A10,'Daily Plan'!$A:$A,BA$1)</f>
        <v/>
      </c>
      <c r="BB10" s="47">
        <f>SUMIFS('Daily Plan'!$H:$H,'Daily Plan'!$C:$C,$A10,'Daily Plan'!$A:$A,BB$1)</f>
        <v/>
      </c>
      <c r="BC10" s="47">
        <f>SUMIFS('Daily Plan'!$H:$H,'Daily Plan'!$C:$C,$A10,'Daily Plan'!$A:$A,BC$1)</f>
        <v/>
      </c>
      <c r="BD10" s="47">
        <f>SUMIFS('Daily Plan'!$H:$H,'Daily Plan'!$C:$C,$A10,'Daily Plan'!$A:$A,BD$1)</f>
        <v/>
      </c>
      <c r="BE10" s="47">
        <f>SUMIFS('Daily Plan'!$H:$H,'Daily Plan'!$C:$C,$A10,'Daily Plan'!$A:$A,BE$1)</f>
        <v/>
      </c>
      <c r="BF10" s="48">
        <f>SUMIFS('Daily Plan'!$H:$H,'Daily Plan'!$C:$C,$A10,'Daily Plan'!$A:$A,BF$1)</f>
        <v/>
      </c>
      <c r="BG10" s="48">
        <f>SUMIFS('Daily Plan'!$H:$H,'Daily Plan'!$C:$C,$A10,'Daily Plan'!$A:$A,BG$1)</f>
        <v/>
      </c>
      <c r="BH10" s="47">
        <f>SUMIFS('Daily Plan'!$H:$H,'Daily Plan'!$C:$C,$A10,'Daily Plan'!$A:$A,BH$1)</f>
        <v/>
      </c>
      <c r="BI10" s="47">
        <f>SUMIFS('Daily Plan'!$H:$H,'Daily Plan'!$C:$C,$A10,'Daily Plan'!$A:$A,BI$1)</f>
        <v/>
      </c>
      <c r="BJ10" s="47">
        <f>SUMIFS('Daily Plan'!$H:$H,'Daily Plan'!$C:$C,$A10,'Daily Plan'!$A:$A,BJ$1)</f>
        <v/>
      </c>
      <c r="BK10" s="47">
        <f>SUMIFS('Daily Plan'!$H:$H,'Daily Plan'!$C:$C,$A10,'Daily Plan'!$A:$A,BK$1)</f>
        <v/>
      </c>
      <c r="BL10" s="47">
        <f>SUMIFS('Daily Plan'!$H:$H,'Daily Plan'!$C:$C,$A10,'Daily Plan'!$A:$A,BL$1)</f>
        <v/>
      </c>
      <c r="BM10" s="48">
        <f>SUMIFS('Daily Plan'!$H:$H,'Daily Plan'!$C:$C,$A10,'Daily Plan'!$A:$A,BM$1)</f>
        <v/>
      </c>
      <c r="BN10" s="48">
        <f>SUMIFS('Daily Plan'!$H:$H,'Daily Plan'!$C:$C,$A10,'Daily Plan'!$A:$A,BN$1)</f>
        <v/>
      </c>
      <c r="BO10" s="47">
        <f>SUMIFS('Daily Plan'!$H:$H,'Daily Plan'!$C:$C,$A10,'Daily Plan'!$A:$A,BO$1)</f>
        <v/>
      </c>
      <c r="BP10" s="47">
        <f>SUMIFS('Daily Plan'!$H:$H,'Daily Plan'!$C:$C,$A10,'Daily Plan'!$A:$A,BP$1)</f>
        <v/>
      </c>
      <c r="BQ10" s="47">
        <f>SUMIFS('Daily Plan'!$H:$H,'Daily Plan'!$C:$C,$A10,'Daily Plan'!$A:$A,BQ$1)</f>
        <v/>
      </c>
      <c r="BR10" s="47">
        <f>SUMIFS('Daily Plan'!$H:$H,'Daily Plan'!$C:$C,$A10,'Daily Plan'!$A:$A,BR$1)</f>
        <v/>
      </c>
      <c r="BS10" s="47">
        <f>SUMIFS('Daily Plan'!$H:$H,'Daily Plan'!$C:$C,$A10,'Daily Plan'!$A:$A,BS$1)</f>
        <v/>
      </c>
      <c r="BT10" s="48">
        <f>SUMIFS('Daily Plan'!$H:$H,'Daily Plan'!$C:$C,$A10,'Daily Plan'!$A:$A,BT$1)</f>
        <v/>
      </c>
      <c r="BU10" s="48">
        <f>SUMIFS('Daily Plan'!$H:$H,'Daily Plan'!$C:$C,$A10,'Daily Plan'!$A:$A,BU$1)</f>
        <v/>
      </c>
      <c r="BV10" s="47">
        <f>SUMIFS('Daily Plan'!$H:$H,'Daily Plan'!$C:$C,$A10,'Daily Plan'!$A:$A,BV$1)</f>
        <v/>
      </c>
      <c r="BW10" s="47">
        <f>SUMIFS('Daily Plan'!$H:$H,'Daily Plan'!$C:$C,$A10,'Daily Plan'!$A:$A,BW$1)</f>
        <v/>
      </c>
      <c r="BX10" s="47">
        <f>SUMIFS('Daily Plan'!$H:$H,'Daily Plan'!$C:$C,$A10,'Daily Plan'!$A:$A,BX$1)</f>
        <v/>
      </c>
      <c r="BY10" s="47">
        <f>SUMIFS('Daily Plan'!$H:$H,'Daily Plan'!$C:$C,$A10,'Daily Plan'!$A:$A,BY$1)</f>
        <v/>
      </c>
      <c r="BZ10" s="47">
        <f>SUMIFS('Daily Plan'!$H:$H,'Daily Plan'!$C:$C,$A10,'Daily Plan'!$A:$A,BZ$1)</f>
        <v/>
      </c>
      <c r="CA10" s="48">
        <f>SUMIFS('Daily Plan'!$H:$H,'Daily Plan'!$C:$C,$A10,'Daily Plan'!$A:$A,CA$1)</f>
        <v/>
      </c>
      <c r="CB10" s="48">
        <f>SUMIFS('Daily Plan'!$H:$H,'Daily Plan'!$C:$C,$A10,'Daily Plan'!$A:$A,CB$1)</f>
        <v/>
      </c>
      <c r="CC10" s="47">
        <f>SUMIFS('Daily Plan'!$H:$H,'Daily Plan'!$C:$C,$A10,'Daily Plan'!$A:$A,CC$1)</f>
        <v/>
      </c>
      <c r="CD10" s="47">
        <f>SUMIFS('Daily Plan'!$H:$H,'Daily Plan'!$C:$C,$A10,'Daily Plan'!$A:$A,CD$1)</f>
        <v/>
      </c>
      <c r="CE10" s="47">
        <f>SUMIFS('Daily Plan'!$H:$H,'Daily Plan'!$C:$C,$A10,'Daily Plan'!$A:$A,CE$1)</f>
        <v/>
      </c>
      <c r="CF10" s="47">
        <f>SUMIFS('Daily Plan'!$H:$H,'Daily Plan'!$C:$C,$A10,'Daily Plan'!$A:$A,CF$1)</f>
        <v/>
      </c>
      <c r="CG10" s="47">
        <f>SUMIFS('Daily Plan'!$H:$H,'Daily Plan'!$C:$C,$A10,'Daily Plan'!$A:$A,CG$1)</f>
        <v/>
      </c>
      <c r="CH10" s="48">
        <f>SUMIFS('Daily Plan'!$H:$H,'Daily Plan'!$C:$C,$A10,'Daily Plan'!$A:$A,CH$1)</f>
        <v/>
      </c>
      <c r="CI10" s="48">
        <f>SUMIFS('Daily Plan'!$H:$H,'Daily Plan'!$C:$C,$A10,'Daily Plan'!$A:$A,CI$1)</f>
        <v/>
      </c>
      <c r="CJ10" s="47">
        <f>SUMIFS('Daily Plan'!$H:$H,'Daily Plan'!$C:$C,$A10,'Daily Plan'!$A:$A,CJ$1)</f>
        <v/>
      </c>
      <c r="CK10" s="47">
        <f>SUMIFS('Daily Plan'!$H:$H,'Daily Plan'!$C:$C,$A10,'Daily Plan'!$A:$A,CK$1)</f>
        <v/>
      </c>
      <c r="CL10" s="47">
        <f>SUMIFS('Daily Plan'!$H:$H,'Daily Plan'!$C:$C,$A10,'Daily Plan'!$A:$A,CL$1)</f>
        <v/>
      </c>
      <c r="CM10" s="47">
        <f>SUMIFS('Daily Plan'!$H:$H,'Daily Plan'!$C:$C,$A10,'Daily Plan'!$A:$A,CM$1)</f>
        <v/>
      </c>
      <c r="CN10" s="47">
        <f>SUMIFS('Daily Plan'!$H:$H,'Daily Plan'!$C:$C,$A10,'Daily Plan'!$A:$A,CN$1)</f>
        <v/>
      </c>
      <c r="CO10" s="48">
        <f>SUMIFS('Daily Plan'!$H:$H,'Daily Plan'!$C:$C,$A10,'Daily Plan'!$A:$A,CO$1)</f>
        <v/>
      </c>
      <c r="CP10" s="48">
        <f>SUMIFS('Daily Plan'!$H:$H,'Daily Plan'!$C:$C,$A10,'Daily Plan'!$A:$A,CP$1)</f>
        <v/>
      </c>
      <c r="CQ10" s="47">
        <f>SUMIFS('Daily Plan'!$H:$H,'Daily Plan'!$C:$C,$A10,'Daily Plan'!$A:$A,CQ$1)</f>
        <v/>
      </c>
      <c r="CR10" s="47">
        <f>SUMIFS('Daily Plan'!$H:$H,'Daily Plan'!$C:$C,$A10,'Daily Plan'!$A:$A,CR$1)</f>
        <v/>
      </c>
      <c r="CS10" s="47">
        <f>SUMIFS('Daily Plan'!$H:$H,'Daily Plan'!$C:$C,$A10,'Daily Plan'!$A:$A,CS$1)</f>
        <v/>
      </c>
      <c r="CT10" s="47">
        <f>SUMIFS('Daily Plan'!$H:$H,'Daily Plan'!$C:$C,$A10,'Daily Plan'!$A:$A,CT$1)</f>
        <v/>
      </c>
      <c r="CU10" s="47">
        <f>SUMIFS('Daily Plan'!$H:$H,'Daily Plan'!$C:$C,$A10,'Daily Plan'!$A:$A,CU$1)</f>
        <v/>
      </c>
      <c r="CV10" s="48">
        <f>SUMIFS('Daily Plan'!$H:$H,'Daily Plan'!$C:$C,$A10,'Daily Plan'!$A:$A,CV$1)</f>
        <v/>
      </c>
      <c r="CW10" s="48">
        <f>SUMIFS('Daily Plan'!$H:$H,'Daily Plan'!$C:$C,$A10,'Daily Plan'!$A:$A,CW$1)</f>
        <v/>
      </c>
      <c r="CX10" s="47">
        <f>SUMIFS('Daily Plan'!$H:$H,'Daily Plan'!$C:$C,$A10,'Daily Plan'!$A:$A,CX$1)</f>
        <v/>
      </c>
      <c r="CY10" s="47">
        <f>SUMIFS('Daily Plan'!$H:$H,'Daily Plan'!$C:$C,$A10,'Daily Plan'!$A:$A,CY$1)</f>
        <v/>
      </c>
      <c r="CZ10" s="47">
        <f>SUMIFS('Daily Plan'!$H:$H,'Daily Plan'!$C:$C,$A10,'Daily Plan'!$A:$A,CZ$1)</f>
        <v/>
      </c>
      <c r="DA10" s="47">
        <f>SUMIFS('Daily Plan'!$H:$H,'Daily Plan'!$C:$C,$A10,'Daily Plan'!$A:$A,DA$1)</f>
        <v/>
      </c>
      <c r="DB10" s="47">
        <f>SUMIFS('Daily Plan'!$H:$H,'Daily Plan'!$C:$C,$A10,'Daily Plan'!$A:$A,DB$1)</f>
        <v/>
      </c>
      <c r="DC10" s="48">
        <f>SUMIFS('Daily Plan'!$H:$H,'Daily Plan'!$C:$C,$A10,'Daily Plan'!$A:$A,DC$1)</f>
        <v/>
      </c>
      <c r="DD10" s="48">
        <f>SUMIFS('Daily Plan'!$H:$H,'Daily Plan'!$C:$C,$A10,'Daily Plan'!$A:$A,DD$1)</f>
        <v/>
      </c>
      <c r="DE10" s="47">
        <f>SUMIFS('Daily Plan'!$H:$H,'Daily Plan'!$C:$C,$A10,'Daily Plan'!$A:$A,DE$1)</f>
        <v/>
      </c>
      <c r="DF10" s="47">
        <f>SUMIFS('Daily Plan'!$H:$H,'Daily Plan'!$C:$C,$A10,'Daily Plan'!$A:$A,DF$1)</f>
        <v/>
      </c>
      <c r="DG10" s="47">
        <f>SUMIFS('Daily Plan'!$H:$H,'Daily Plan'!$C:$C,$A10,'Daily Plan'!$A:$A,DG$1)</f>
        <v/>
      </c>
      <c r="DH10" s="47">
        <f>SUMIFS('Daily Plan'!$H:$H,'Daily Plan'!$C:$C,$A10,'Daily Plan'!$A:$A,DH$1)</f>
        <v/>
      </c>
      <c r="DI10" s="47">
        <f>SUMIFS('Daily Plan'!$H:$H,'Daily Plan'!$C:$C,$A10,'Daily Plan'!$A:$A,DI$1)</f>
        <v/>
      </c>
      <c r="DJ10" s="48">
        <f>SUMIFS('Daily Plan'!$H:$H,'Daily Plan'!$C:$C,$A10,'Daily Plan'!$A:$A,DJ$1)</f>
        <v/>
      </c>
      <c r="DK10" s="48">
        <f>SUMIFS('Daily Plan'!$H:$H,'Daily Plan'!$C:$C,$A10,'Daily Plan'!$A:$A,DK$1)</f>
        <v/>
      </c>
      <c r="DL10" s="47">
        <f>SUMIFS('Daily Plan'!$H:$H,'Daily Plan'!$C:$C,$A10,'Daily Plan'!$A:$A,DL$1)</f>
        <v/>
      </c>
      <c r="DM10" s="47">
        <f>SUMIFS('Daily Plan'!$H:$H,'Daily Plan'!$C:$C,$A10,'Daily Plan'!$A:$A,DM$1)</f>
        <v/>
      </c>
      <c r="DN10" s="47">
        <f>SUMIFS('Daily Plan'!$H:$H,'Daily Plan'!$C:$C,$A10,'Daily Plan'!$A:$A,DN$1)</f>
        <v/>
      </c>
      <c r="DO10" s="47">
        <f>SUMIFS('Daily Plan'!$H:$H,'Daily Plan'!$C:$C,$A10,'Daily Plan'!$A:$A,DO$1)</f>
        <v/>
      </c>
      <c r="DP10" s="47">
        <f>SUMIFS('Daily Plan'!$H:$H,'Daily Plan'!$C:$C,$A10,'Daily Plan'!$A:$A,DP$1)</f>
        <v/>
      </c>
      <c r="DQ10" s="48">
        <f>SUMIFS('Daily Plan'!$H:$H,'Daily Plan'!$C:$C,$A10,'Daily Plan'!$A:$A,DQ$1)</f>
        <v/>
      </c>
      <c r="DR10" s="48">
        <f>SUMIFS('Daily Plan'!$H:$H,'Daily Plan'!$C:$C,$A10,'Daily Plan'!$A:$A,DR$1)</f>
        <v/>
      </c>
      <c r="DS10" s="47">
        <f>SUMIFS('Daily Plan'!$H:$H,'Daily Plan'!$C:$C,$A10,'Daily Plan'!$A:$A,DS$1)</f>
        <v/>
      </c>
      <c r="DT10" s="47">
        <f>SUMIFS('Daily Plan'!$H:$H,'Daily Plan'!$C:$C,$A10,'Daily Plan'!$A:$A,DT$1)</f>
        <v/>
      </c>
      <c r="DU10" s="47">
        <f>SUMIFS('Daily Plan'!$H:$H,'Daily Plan'!$C:$C,$A10,'Daily Plan'!$A:$A,DU$1)</f>
        <v/>
      </c>
      <c r="DV10" s="47">
        <f>SUMIFS('Daily Plan'!$H:$H,'Daily Plan'!$C:$C,$A10,'Daily Plan'!$A:$A,DV$1)</f>
        <v/>
      </c>
      <c r="DW10" s="47">
        <f>SUMIFS('Daily Plan'!$H:$H,'Daily Plan'!$C:$C,$A10,'Daily Plan'!$A:$A,DW$1)</f>
        <v/>
      </c>
      <c r="DX10" s="48">
        <f>SUMIFS('Daily Plan'!$H:$H,'Daily Plan'!$C:$C,$A10,'Daily Plan'!$A:$A,DX$1)</f>
        <v/>
      </c>
      <c r="DY10" s="48">
        <f>SUMIFS('Daily Plan'!$H:$H,'Daily Plan'!$C:$C,$A10,'Daily Plan'!$A:$A,DY$1)</f>
        <v/>
      </c>
      <c r="DZ10" s="47">
        <f>SUMIFS('Daily Plan'!$H:$H,'Daily Plan'!$C:$C,$A10,'Daily Plan'!$A:$A,DZ$1)</f>
        <v/>
      </c>
      <c r="EA10" s="47">
        <f>SUMIFS('Daily Plan'!$H:$H,'Daily Plan'!$C:$C,$A10,'Daily Plan'!$A:$A,EA$1)</f>
        <v/>
      </c>
      <c r="EB10" s="47">
        <f>SUMIFS('Daily Plan'!$H:$H,'Daily Plan'!$C:$C,$A10,'Daily Plan'!$A:$A,EB$1)</f>
        <v/>
      </c>
      <c r="EC10" s="47">
        <f>SUMIFS('Daily Plan'!$H:$H,'Daily Plan'!$C:$C,$A10,'Daily Plan'!$A:$A,EC$1)</f>
        <v/>
      </c>
      <c r="ED10" s="47">
        <f>SUMIFS('Daily Plan'!$H:$H,'Daily Plan'!$C:$C,$A10,'Daily Plan'!$A:$A,ED$1)</f>
        <v/>
      </c>
      <c r="EE10" s="48">
        <f>SUMIFS('Daily Plan'!$H:$H,'Daily Plan'!$C:$C,$A10,'Daily Plan'!$A:$A,EE$1)</f>
        <v/>
      </c>
      <c r="EF10" s="48">
        <f>SUMIFS('Daily Plan'!$H:$H,'Daily Plan'!$C:$C,$A10,'Daily Plan'!$A:$A,EF$1)</f>
        <v/>
      </c>
      <c r="EG10" s="47">
        <f>SUMIFS('Daily Plan'!$H:$H,'Daily Plan'!$C:$C,$A10,'Daily Plan'!$A:$A,EG$1)</f>
        <v/>
      </c>
      <c r="EH10" s="47">
        <f>SUMIFS('Daily Plan'!$H:$H,'Daily Plan'!$C:$C,$A10,'Daily Plan'!$A:$A,EH$1)</f>
        <v/>
      </c>
      <c r="EI10" s="47">
        <f>SUMIFS('Daily Plan'!$H:$H,'Daily Plan'!$C:$C,$A10,'Daily Plan'!$A:$A,EI$1)</f>
        <v/>
      </c>
      <c r="EJ10" s="47">
        <f>SUMIFS('Daily Plan'!$H:$H,'Daily Plan'!$C:$C,$A10,'Daily Plan'!$A:$A,EJ$1)</f>
        <v/>
      </c>
      <c r="EK10" s="47">
        <f>SUMIFS('Daily Plan'!$H:$H,'Daily Plan'!$C:$C,$A10,'Daily Plan'!$A:$A,EK$1)</f>
        <v/>
      </c>
      <c r="EL10" s="48">
        <f>SUMIFS('Daily Plan'!$H:$H,'Daily Plan'!$C:$C,$A10,'Daily Plan'!$A:$A,EL$1)</f>
        <v/>
      </c>
      <c r="EM10" s="48">
        <f>SUMIFS('Daily Plan'!$H:$H,'Daily Plan'!$C:$C,$A10,'Daily Plan'!$A:$A,EM$1)</f>
        <v/>
      </c>
      <c r="EN10" s="47">
        <f>SUMIFS('Daily Plan'!$H:$H,'Daily Plan'!$C:$C,$A10,'Daily Plan'!$A:$A,EN$1)</f>
        <v/>
      </c>
      <c r="EO10" s="47">
        <f>SUMIFS('Daily Plan'!$H:$H,'Daily Plan'!$C:$C,$A10,'Daily Plan'!$A:$A,EO$1)</f>
        <v/>
      </c>
      <c r="EP10" s="47">
        <f>SUMIFS('Daily Plan'!$H:$H,'Daily Plan'!$C:$C,$A10,'Daily Plan'!$A:$A,EP$1)</f>
        <v/>
      </c>
      <c r="EQ10" s="47">
        <f>SUMIFS('Daily Plan'!$H:$H,'Daily Plan'!$C:$C,$A10,'Daily Plan'!$A:$A,EQ$1)</f>
        <v/>
      </c>
      <c r="ER10" s="47">
        <f>SUMIFS('Daily Plan'!$H:$H,'Daily Plan'!$C:$C,$A10,'Daily Plan'!$A:$A,ER$1)</f>
        <v/>
      </c>
      <c r="ES10" s="48">
        <f>SUMIFS('Daily Plan'!$H:$H,'Daily Plan'!$C:$C,$A10,'Daily Plan'!$A:$A,ES$1)</f>
        <v/>
      </c>
      <c r="ET10" s="48">
        <f>SUMIFS('Daily Plan'!$H:$H,'Daily Plan'!$C:$C,$A10,'Daily Plan'!$A:$A,ET$1)</f>
        <v/>
      </c>
      <c r="EU10" s="47">
        <f>SUMIFS('Daily Plan'!$H:$H,'Daily Plan'!$C:$C,$A10,'Daily Plan'!$A:$A,EU$1)</f>
        <v/>
      </c>
      <c r="EV10" s="47">
        <f>SUMIFS('Daily Plan'!$H:$H,'Daily Plan'!$C:$C,$A10,'Daily Plan'!$A:$A,EV$1)</f>
        <v/>
      </c>
      <c r="EW10" s="47">
        <f>SUMIFS('Daily Plan'!$H:$H,'Daily Plan'!$C:$C,$A10,'Daily Plan'!$A:$A,EW$1)</f>
        <v/>
      </c>
      <c r="EX10" s="47">
        <f>SUMIFS('Daily Plan'!$H:$H,'Daily Plan'!$C:$C,$A10,'Daily Plan'!$A:$A,EX$1)</f>
        <v/>
      </c>
      <c r="EY10" s="47">
        <f>SUMIFS('Daily Plan'!$H:$H,'Daily Plan'!$C:$C,$A10,'Daily Plan'!$A:$A,EY$1)</f>
        <v/>
      </c>
      <c r="EZ10" s="48">
        <f>SUMIFS('Daily Plan'!$H:$H,'Daily Plan'!$C:$C,$A10,'Daily Plan'!$A:$A,EZ$1)</f>
        <v/>
      </c>
      <c r="FA10" s="48">
        <f>SUMIFS('Daily Plan'!$H:$H,'Daily Plan'!$C:$C,$A10,'Daily Plan'!$A:$A,FA$1)</f>
        <v/>
      </c>
      <c r="FB10" s="47">
        <f>SUMIFS('Daily Plan'!$H:$H,'Daily Plan'!$C:$C,$A10,'Daily Plan'!$A:$A,FB$1)</f>
        <v/>
      </c>
      <c r="FC10" s="47">
        <f>SUMIFS('Daily Plan'!$H:$H,'Daily Plan'!$C:$C,$A10,'Daily Plan'!$A:$A,FC$1)</f>
        <v/>
      </c>
      <c r="FD10" s="47">
        <f>SUMIFS('Daily Plan'!$H:$H,'Daily Plan'!$C:$C,$A10,'Daily Plan'!$A:$A,FD$1)</f>
        <v/>
      </c>
      <c r="FE10" s="47">
        <f>SUMIFS('Daily Plan'!$H:$H,'Daily Plan'!$C:$C,$A10,'Daily Plan'!$A:$A,FE$1)</f>
        <v/>
      </c>
      <c r="FF10" s="47">
        <f>SUMIFS('Daily Plan'!$H:$H,'Daily Plan'!$C:$C,$A10,'Daily Plan'!$A:$A,FF$1)</f>
        <v/>
      </c>
      <c r="FG10" s="48">
        <f>SUMIFS('Daily Plan'!$H:$H,'Daily Plan'!$C:$C,$A10,'Daily Plan'!$A:$A,FG$1)</f>
        <v/>
      </c>
      <c r="FH10" s="48">
        <f>SUMIFS('Daily Plan'!$H:$H,'Daily Plan'!$C:$C,$A10,'Daily Plan'!$A:$A,FH$1)</f>
        <v/>
      </c>
      <c r="FI10" s="47">
        <f>SUMIFS('Daily Plan'!$H:$H,'Daily Plan'!$C:$C,$A10,'Daily Plan'!$A:$A,FI$1)</f>
        <v/>
      </c>
      <c r="FJ10" s="47">
        <f>SUMIFS('Daily Plan'!$H:$H,'Daily Plan'!$C:$C,$A10,'Daily Plan'!$A:$A,FJ$1)</f>
        <v/>
      </c>
      <c r="FK10" s="47">
        <f>SUMIFS('Daily Plan'!$H:$H,'Daily Plan'!$C:$C,$A10,'Daily Plan'!$A:$A,FK$1)</f>
        <v/>
      </c>
      <c r="FL10" s="47">
        <f>SUMIFS('Daily Plan'!$H:$H,'Daily Plan'!$C:$C,$A10,'Daily Plan'!$A:$A,FL$1)</f>
        <v/>
      </c>
      <c r="FM10" s="47">
        <f>SUMIFS('Daily Plan'!$H:$H,'Daily Plan'!$C:$C,$A10,'Daily Plan'!$A:$A,FM$1)</f>
        <v/>
      </c>
      <c r="FN10" s="48">
        <f>SUMIFS('Daily Plan'!$H:$H,'Daily Plan'!$C:$C,$A10,'Daily Plan'!$A:$A,FN$1)</f>
        <v/>
      </c>
      <c r="FO10" s="48">
        <f>SUMIFS('Daily Plan'!$H:$H,'Daily Plan'!$C:$C,$A10,'Daily Plan'!$A:$A,FO$1)</f>
        <v/>
      </c>
      <c r="FP10" s="47">
        <f>SUMIFS('Daily Plan'!$H:$H,'Daily Plan'!$C:$C,$A10,'Daily Plan'!$A:$A,FP$1)</f>
        <v/>
      </c>
      <c r="FQ10" s="47">
        <f>SUMIFS('Daily Plan'!$H:$H,'Daily Plan'!$C:$C,$A10,'Daily Plan'!$A:$A,FQ$1)</f>
        <v/>
      </c>
      <c r="FR10" s="47">
        <f>SUMIFS('Daily Plan'!$H:$H,'Daily Plan'!$C:$C,$A10,'Daily Plan'!$A:$A,FR$1)</f>
        <v/>
      </c>
      <c r="FS10" s="47">
        <f>SUMIFS('Daily Plan'!$H:$H,'Daily Plan'!$C:$C,$A10,'Daily Plan'!$A:$A,FS$1)</f>
        <v/>
      </c>
    </row>
    <row r="11">
      <c r="A11" s="23" t="inlineStr">
        <is>
          <t>DOC-2</t>
        </is>
      </c>
      <c r="B11" s="23" t="inlineStr">
        <is>
          <t>文档</t>
        </is>
      </c>
      <c r="C11" s="2" t="inlineStr">
        <is>
          <t>历史回测文档</t>
        </is>
      </c>
      <c r="D11" s="43" t="n">
        <v>46251</v>
      </c>
      <c r="E11" s="43" t="n">
        <v>46262</v>
      </c>
      <c r="F11" s="23" t="inlineStr">
        <is>
          <t>pending</t>
        </is>
      </c>
      <c r="G11" s="44">
        <f>SUMIF('Daily Plan'!$C:$C,A11,'Daily Plan'!$H:$H)</f>
        <v/>
      </c>
      <c r="H11" s="44">
        <f>SUMIF('Daily Plan'!$C:$C,A11,'Daily Plan'!$I:$I)</f>
        <v/>
      </c>
      <c r="I11" s="44">
        <f>MAX(G11-H11,0)</f>
        <v/>
      </c>
      <c r="J11" s="25">
        <f>IF(G11=0,IF(F11="done",1,0),H11/G11)</f>
        <v/>
      </c>
      <c r="K11" s="2" t="inlineStr">
        <is>
          <t>TEST-1</t>
        </is>
      </c>
      <c r="L11" s="2" t="inlineStr">
        <is>
          <t>simulated vs actual KPI 报告</t>
        </is>
      </c>
      <c r="M11" s="47">
        <f>SUMIFS('Daily Plan'!$H:$H,'Daily Plan'!$C:$C,$A11,'Daily Plan'!$A:$A,M$1)</f>
        <v/>
      </c>
      <c r="N11" s="47">
        <f>SUMIFS('Daily Plan'!$H:$H,'Daily Plan'!$C:$C,$A11,'Daily Plan'!$A:$A,N$1)</f>
        <v/>
      </c>
      <c r="O11" s="47">
        <f>SUMIFS('Daily Plan'!$H:$H,'Daily Plan'!$C:$C,$A11,'Daily Plan'!$A:$A,O$1)</f>
        <v/>
      </c>
      <c r="P11" s="48">
        <f>SUMIFS('Daily Plan'!$H:$H,'Daily Plan'!$C:$C,$A11,'Daily Plan'!$A:$A,P$1)</f>
        <v/>
      </c>
      <c r="Q11" s="48">
        <f>SUMIFS('Daily Plan'!$H:$H,'Daily Plan'!$C:$C,$A11,'Daily Plan'!$A:$A,Q$1)</f>
        <v/>
      </c>
      <c r="R11" s="47">
        <f>SUMIFS('Daily Plan'!$H:$H,'Daily Plan'!$C:$C,$A11,'Daily Plan'!$A:$A,R$1)</f>
        <v/>
      </c>
      <c r="S11" s="47">
        <f>SUMIFS('Daily Plan'!$H:$H,'Daily Plan'!$C:$C,$A11,'Daily Plan'!$A:$A,S$1)</f>
        <v/>
      </c>
      <c r="T11" s="47">
        <f>SUMIFS('Daily Plan'!$H:$H,'Daily Plan'!$C:$C,$A11,'Daily Plan'!$A:$A,T$1)</f>
        <v/>
      </c>
      <c r="U11" s="47">
        <f>SUMIFS('Daily Plan'!$H:$H,'Daily Plan'!$C:$C,$A11,'Daily Plan'!$A:$A,U$1)</f>
        <v/>
      </c>
      <c r="V11" s="47">
        <f>SUMIFS('Daily Plan'!$H:$H,'Daily Plan'!$C:$C,$A11,'Daily Plan'!$A:$A,V$1)</f>
        <v/>
      </c>
      <c r="W11" s="48">
        <f>SUMIFS('Daily Plan'!$H:$H,'Daily Plan'!$C:$C,$A11,'Daily Plan'!$A:$A,W$1)</f>
        <v/>
      </c>
      <c r="X11" s="48">
        <f>SUMIFS('Daily Plan'!$H:$H,'Daily Plan'!$C:$C,$A11,'Daily Plan'!$A:$A,X$1)</f>
        <v/>
      </c>
      <c r="Y11" s="47">
        <f>SUMIFS('Daily Plan'!$H:$H,'Daily Plan'!$C:$C,$A11,'Daily Plan'!$A:$A,Y$1)</f>
        <v/>
      </c>
      <c r="Z11" s="47">
        <f>SUMIFS('Daily Plan'!$H:$H,'Daily Plan'!$C:$C,$A11,'Daily Plan'!$A:$A,Z$1)</f>
        <v/>
      </c>
      <c r="AA11" s="47">
        <f>SUMIFS('Daily Plan'!$H:$H,'Daily Plan'!$C:$C,$A11,'Daily Plan'!$A:$A,AA$1)</f>
        <v/>
      </c>
      <c r="AB11" s="47">
        <f>SUMIFS('Daily Plan'!$H:$H,'Daily Plan'!$C:$C,$A11,'Daily Plan'!$A:$A,AB$1)</f>
        <v/>
      </c>
      <c r="AC11" s="47">
        <f>SUMIFS('Daily Plan'!$H:$H,'Daily Plan'!$C:$C,$A11,'Daily Plan'!$A:$A,AC$1)</f>
        <v/>
      </c>
      <c r="AD11" s="48">
        <f>SUMIFS('Daily Plan'!$H:$H,'Daily Plan'!$C:$C,$A11,'Daily Plan'!$A:$A,AD$1)</f>
        <v/>
      </c>
      <c r="AE11" s="48">
        <f>SUMIFS('Daily Plan'!$H:$H,'Daily Plan'!$C:$C,$A11,'Daily Plan'!$A:$A,AE$1)</f>
        <v/>
      </c>
      <c r="AF11" s="47">
        <f>SUMIFS('Daily Plan'!$H:$H,'Daily Plan'!$C:$C,$A11,'Daily Plan'!$A:$A,AF$1)</f>
        <v/>
      </c>
      <c r="AG11" s="47">
        <f>SUMIFS('Daily Plan'!$H:$H,'Daily Plan'!$C:$C,$A11,'Daily Plan'!$A:$A,AG$1)</f>
        <v/>
      </c>
      <c r="AH11" s="47">
        <f>SUMIFS('Daily Plan'!$H:$H,'Daily Plan'!$C:$C,$A11,'Daily Plan'!$A:$A,AH$1)</f>
        <v/>
      </c>
      <c r="AI11" s="47">
        <f>SUMIFS('Daily Plan'!$H:$H,'Daily Plan'!$C:$C,$A11,'Daily Plan'!$A:$A,AI$1)</f>
        <v/>
      </c>
      <c r="AJ11" s="47">
        <f>SUMIFS('Daily Plan'!$H:$H,'Daily Plan'!$C:$C,$A11,'Daily Plan'!$A:$A,AJ$1)</f>
        <v/>
      </c>
      <c r="AK11" s="48">
        <f>SUMIFS('Daily Plan'!$H:$H,'Daily Plan'!$C:$C,$A11,'Daily Plan'!$A:$A,AK$1)</f>
        <v/>
      </c>
      <c r="AL11" s="48">
        <f>SUMIFS('Daily Plan'!$H:$H,'Daily Plan'!$C:$C,$A11,'Daily Plan'!$A:$A,AL$1)</f>
        <v/>
      </c>
      <c r="AM11" s="47">
        <f>SUMIFS('Daily Plan'!$H:$H,'Daily Plan'!$C:$C,$A11,'Daily Plan'!$A:$A,AM$1)</f>
        <v/>
      </c>
      <c r="AN11" s="47">
        <f>SUMIFS('Daily Plan'!$H:$H,'Daily Plan'!$C:$C,$A11,'Daily Plan'!$A:$A,AN$1)</f>
        <v/>
      </c>
      <c r="AO11" s="47">
        <f>SUMIFS('Daily Plan'!$H:$H,'Daily Plan'!$C:$C,$A11,'Daily Plan'!$A:$A,AO$1)</f>
        <v/>
      </c>
      <c r="AP11" s="47">
        <f>SUMIFS('Daily Plan'!$H:$H,'Daily Plan'!$C:$C,$A11,'Daily Plan'!$A:$A,AP$1)</f>
        <v/>
      </c>
      <c r="AQ11" s="47">
        <f>SUMIFS('Daily Plan'!$H:$H,'Daily Plan'!$C:$C,$A11,'Daily Plan'!$A:$A,AQ$1)</f>
        <v/>
      </c>
      <c r="AR11" s="48">
        <f>SUMIFS('Daily Plan'!$H:$H,'Daily Plan'!$C:$C,$A11,'Daily Plan'!$A:$A,AR$1)</f>
        <v/>
      </c>
      <c r="AS11" s="48">
        <f>SUMIFS('Daily Plan'!$H:$H,'Daily Plan'!$C:$C,$A11,'Daily Plan'!$A:$A,AS$1)</f>
        <v/>
      </c>
      <c r="AT11" s="47">
        <f>SUMIFS('Daily Plan'!$H:$H,'Daily Plan'!$C:$C,$A11,'Daily Plan'!$A:$A,AT$1)</f>
        <v/>
      </c>
      <c r="AU11" s="47">
        <f>SUMIFS('Daily Plan'!$H:$H,'Daily Plan'!$C:$C,$A11,'Daily Plan'!$A:$A,AU$1)</f>
        <v/>
      </c>
      <c r="AV11" s="47">
        <f>SUMIFS('Daily Plan'!$H:$H,'Daily Plan'!$C:$C,$A11,'Daily Plan'!$A:$A,AV$1)</f>
        <v/>
      </c>
      <c r="AW11" s="47">
        <f>SUMIFS('Daily Plan'!$H:$H,'Daily Plan'!$C:$C,$A11,'Daily Plan'!$A:$A,AW$1)</f>
        <v/>
      </c>
      <c r="AX11" s="47">
        <f>SUMIFS('Daily Plan'!$H:$H,'Daily Plan'!$C:$C,$A11,'Daily Plan'!$A:$A,AX$1)</f>
        <v/>
      </c>
      <c r="AY11" s="48">
        <f>SUMIFS('Daily Plan'!$H:$H,'Daily Plan'!$C:$C,$A11,'Daily Plan'!$A:$A,AY$1)</f>
        <v/>
      </c>
      <c r="AZ11" s="48">
        <f>SUMIFS('Daily Plan'!$H:$H,'Daily Plan'!$C:$C,$A11,'Daily Plan'!$A:$A,AZ$1)</f>
        <v/>
      </c>
      <c r="BA11" s="47">
        <f>SUMIFS('Daily Plan'!$H:$H,'Daily Plan'!$C:$C,$A11,'Daily Plan'!$A:$A,BA$1)</f>
        <v/>
      </c>
      <c r="BB11" s="47">
        <f>SUMIFS('Daily Plan'!$H:$H,'Daily Plan'!$C:$C,$A11,'Daily Plan'!$A:$A,BB$1)</f>
        <v/>
      </c>
      <c r="BC11" s="47">
        <f>SUMIFS('Daily Plan'!$H:$H,'Daily Plan'!$C:$C,$A11,'Daily Plan'!$A:$A,BC$1)</f>
        <v/>
      </c>
      <c r="BD11" s="47">
        <f>SUMIFS('Daily Plan'!$H:$H,'Daily Plan'!$C:$C,$A11,'Daily Plan'!$A:$A,BD$1)</f>
        <v/>
      </c>
      <c r="BE11" s="47">
        <f>SUMIFS('Daily Plan'!$H:$H,'Daily Plan'!$C:$C,$A11,'Daily Plan'!$A:$A,BE$1)</f>
        <v/>
      </c>
      <c r="BF11" s="48">
        <f>SUMIFS('Daily Plan'!$H:$H,'Daily Plan'!$C:$C,$A11,'Daily Plan'!$A:$A,BF$1)</f>
        <v/>
      </c>
      <c r="BG11" s="48">
        <f>SUMIFS('Daily Plan'!$H:$H,'Daily Plan'!$C:$C,$A11,'Daily Plan'!$A:$A,BG$1)</f>
        <v/>
      </c>
      <c r="BH11" s="47">
        <f>SUMIFS('Daily Plan'!$H:$H,'Daily Plan'!$C:$C,$A11,'Daily Plan'!$A:$A,BH$1)</f>
        <v/>
      </c>
      <c r="BI11" s="47">
        <f>SUMIFS('Daily Plan'!$H:$H,'Daily Plan'!$C:$C,$A11,'Daily Plan'!$A:$A,BI$1)</f>
        <v/>
      </c>
      <c r="BJ11" s="47">
        <f>SUMIFS('Daily Plan'!$H:$H,'Daily Plan'!$C:$C,$A11,'Daily Plan'!$A:$A,BJ$1)</f>
        <v/>
      </c>
      <c r="BK11" s="47">
        <f>SUMIFS('Daily Plan'!$H:$H,'Daily Plan'!$C:$C,$A11,'Daily Plan'!$A:$A,BK$1)</f>
        <v/>
      </c>
      <c r="BL11" s="47">
        <f>SUMIFS('Daily Plan'!$H:$H,'Daily Plan'!$C:$C,$A11,'Daily Plan'!$A:$A,BL$1)</f>
        <v/>
      </c>
      <c r="BM11" s="48">
        <f>SUMIFS('Daily Plan'!$H:$H,'Daily Plan'!$C:$C,$A11,'Daily Plan'!$A:$A,BM$1)</f>
        <v/>
      </c>
      <c r="BN11" s="48">
        <f>SUMIFS('Daily Plan'!$H:$H,'Daily Plan'!$C:$C,$A11,'Daily Plan'!$A:$A,BN$1)</f>
        <v/>
      </c>
      <c r="BO11" s="47">
        <f>SUMIFS('Daily Plan'!$H:$H,'Daily Plan'!$C:$C,$A11,'Daily Plan'!$A:$A,BO$1)</f>
        <v/>
      </c>
      <c r="BP11" s="47">
        <f>SUMIFS('Daily Plan'!$H:$H,'Daily Plan'!$C:$C,$A11,'Daily Plan'!$A:$A,BP$1)</f>
        <v/>
      </c>
      <c r="BQ11" s="47">
        <f>SUMIFS('Daily Plan'!$H:$H,'Daily Plan'!$C:$C,$A11,'Daily Plan'!$A:$A,BQ$1)</f>
        <v/>
      </c>
      <c r="BR11" s="47">
        <f>SUMIFS('Daily Plan'!$H:$H,'Daily Plan'!$C:$C,$A11,'Daily Plan'!$A:$A,BR$1)</f>
        <v/>
      </c>
      <c r="BS11" s="47">
        <f>SUMIFS('Daily Plan'!$H:$H,'Daily Plan'!$C:$C,$A11,'Daily Plan'!$A:$A,BS$1)</f>
        <v/>
      </c>
      <c r="BT11" s="48">
        <f>SUMIFS('Daily Plan'!$H:$H,'Daily Plan'!$C:$C,$A11,'Daily Plan'!$A:$A,BT$1)</f>
        <v/>
      </c>
      <c r="BU11" s="48">
        <f>SUMIFS('Daily Plan'!$H:$H,'Daily Plan'!$C:$C,$A11,'Daily Plan'!$A:$A,BU$1)</f>
        <v/>
      </c>
      <c r="BV11" s="47">
        <f>SUMIFS('Daily Plan'!$H:$H,'Daily Plan'!$C:$C,$A11,'Daily Plan'!$A:$A,BV$1)</f>
        <v/>
      </c>
      <c r="BW11" s="47">
        <f>SUMIFS('Daily Plan'!$H:$H,'Daily Plan'!$C:$C,$A11,'Daily Plan'!$A:$A,BW$1)</f>
        <v/>
      </c>
      <c r="BX11" s="47">
        <f>SUMIFS('Daily Plan'!$H:$H,'Daily Plan'!$C:$C,$A11,'Daily Plan'!$A:$A,BX$1)</f>
        <v/>
      </c>
      <c r="BY11" s="47">
        <f>SUMIFS('Daily Plan'!$H:$H,'Daily Plan'!$C:$C,$A11,'Daily Plan'!$A:$A,BY$1)</f>
        <v/>
      </c>
      <c r="BZ11" s="47">
        <f>SUMIFS('Daily Plan'!$H:$H,'Daily Plan'!$C:$C,$A11,'Daily Plan'!$A:$A,BZ$1)</f>
        <v/>
      </c>
      <c r="CA11" s="48">
        <f>SUMIFS('Daily Plan'!$H:$H,'Daily Plan'!$C:$C,$A11,'Daily Plan'!$A:$A,CA$1)</f>
        <v/>
      </c>
      <c r="CB11" s="48">
        <f>SUMIFS('Daily Plan'!$H:$H,'Daily Plan'!$C:$C,$A11,'Daily Plan'!$A:$A,CB$1)</f>
        <v/>
      </c>
      <c r="CC11" s="47">
        <f>SUMIFS('Daily Plan'!$H:$H,'Daily Plan'!$C:$C,$A11,'Daily Plan'!$A:$A,CC$1)</f>
        <v/>
      </c>
      <c r="CD11" s="47">
        <f>SUMIFS('Daily Plan'!$H:$H,'Daily Plan'!$C:$C,$A11,'Daily Plan'!$A:$A,CD$1)</f>
        <v/>
      </c>
      <c r="CE11" s="47">
        <f>SUMIFS('Daily Plan'!$H:$H,'Daily Plan'!$C:$C,$A11,'Daily Plan'!$A:$A,CE$1)</f>
        <v/>
      </c>
      <c r="CF11" s="47">
        <f>SUMIFS('Daily Plan'!$H:$H,'Daily Plan'!$C:$C,$A11,'Daily Plan'!$A:$A,CF$1)</f>
        <v/>
      </c>
      <c r="CG11" s="47">
        <f>SUMIFS('Daily Plan'!$H:$H,'Daily Plan'!$C:$C,$A11,'Daily Plan'!$A:$A,CG$1)</f>
        <v/>
      </c>
      <c r="CH11" s="48">
        <f>SUMIFS('Daily Plan'!$H:$H,'Daily Plan'!$C:$C,$A11,'Daily Plan'!$A:$A,CH$1)</f>
        <v/>
      </c>
      <c r="CI11" s="48">
        <f>SUMIFS('Daily Plan'!$H:$H,'Daily Plan'!$C:$C,$A11,'Daily Plan'!$A:$A,CI$1)</f>
        <v/>
      </c>
      <c r="CJ11" s="47">
        <f>SUMIFS('Daily Plan'!$H:$H,'Daily Plan'!$C:$C,$A11,'Daily Plan'!$A:$A,CJ$1)</f>
        <v/>
      </c>
      <c r="CK11" s="47">
        <f>SUMIFS('Daily Plan'!$H:$H,'Daily Plan'!$C:$C,$A11,'Daily Plan'!$A:$A,CK$1)</f>
        <v/>
      </c>
      <c r="CL11" s="47">
        <f>SUMIFS('Daily Plan'!$H:$H,'Daily Plan'!$C:$C,$A11,'Daily Plan'!$A:$A,CL$1)</f>
        <v/>
      </c>
      <c r="CM11" s="47">
        <f>SUMIFS('Daily Plan'!$H:$H,'Daily Plan'!$C:$C,$A11,'Daily Plan'!$A:$A,CM$1)</f>
        <v/>
      </c>
      <c r="CN11" s="47">
        <f>SUMIFS('Daily Plan'!$H:$H,'Daily Plan'!$C:$C,$A11,'Daily Plan'!$A:$A,CN$1)</f>
        <v/>
      </c>
      <c r="CO11" s="48">
        <f>SUMIFS('Daily Plan'!$H:$H,'Daily Plan'!$C:$C,$A11,'Daily Plan'!$A:$A,CO$1)</f>
        <v/>
      </c>
      <c r="CP11" s="48">
        <f>SUMIFS('Daily Plan'!$H:$H,'Daily Plan'!$C:$C,$A11,'Daily Plan'!$A:$A,CP$1)</f>
        <v/>
      </c>
      <c r="CQ11" s="47">
        <f>SUMIFS('Daily Plan'!$H:$H,'Daily Plan'!$C:$C,$A11,'Daily Plan'!$A:$A,CQ$1)</f>
        <v/>
      </c>
      <c r="CR11" s="47">
        <f>SUMIFS('Daily Plan'!$H:$H,'Daily Plan'!$C:$C,$A11,'Daily Plan'!$A:$A,CR$1)</f>
        <v/>
      </c>
      <c r="CS11" s="47">
        <f>SUMIFS('Daily Plan'!$H:$H,'Daily Plan'!$C:$C,$A11,'Daily Plan'!$A:$A,CS$1)</f>
        <v/>
      </c>
      <c r="CT11" s="47">
        <f>SUMIFS('Daily Plan'!$H:$H,'Daily Plan'!$C:$C,$A11,'Daily Plan'!$A:$A,CT$1)</f>
        <v/>
      </c>
      <c r="CU11" s="47">
        <f>SUMIFS('Daily Plan'!$H:$H,'Daily Plan'!$C:$C,$A11,'Daily Plan'!$A:$A,CU$1)</f>
        <v/>
      </c>
      <c r="CV11" s="48">
        <f>SUMIFS('Daily Plan'!$H:$H,'Daily Plan'!$C:$C,$A11,'Daily Plan'!$A:$A,CV$1)</f>
        <v/>
      </c>
      <c r="CW11" s="48">
        <f>SUMIFS('Daily Plan'!$H:$H,'Daily Plan'!$C:$C,$A11,'Daily Plan'!$A:$A,CW$1)</f>
        <v/>
      </c>
      <c r="CX11" s="47">
        <f>SUMIFS('Daily Plan'!$H:$H,'Daily Plan'!$C:$C,$A11,'Daily Plan'!$A:$A,CX$1)</f>
        <v/>
      </c>
      <c r="CY11" s="47">
        <f>SUMIFS('Daily Plan'!$H:$H,'Daily Plan'!$C:$C,$A11,'Daily Plan'!$A:$A,CY$1)</f>
        <v/>
      </c>
      <c r="CZ11" s="47">
        <f>SUMIFS('Daily Plan'!$H:$H,'Daily Plan'!$C:$C,$A11,'Daily Plan'!$A:$A,CZ$1)</f>
        <v/>
      </c>
      <c r="DA11" s="47">
        <f>SUMIFS('Daily Plan'!$H:$H,'Daily Plan'!$C:$C,$A11,'Daily Plan'!$A:$A,DA$1)</f>
        <v/>
      </c>
      <c r="DB11" s="47">
        <f>SUMIFS('Daily Plan'!$H:$H,'Daily Plan'!$C:$C,$A11,'Daily Plan'!$A:$A,DB$1)</f>
        <v/>
      </c>
      <c r="DC11" s="48">
        <f>SUMIFS('Daily Plan'!$H:$H,'Daily Plan'!$C:$C,$A11,'Daily Plan'!$A:$A,DC$1)</f>
        <v/>
      </c>
      <c r="DD11" s="48">
        <f>SUMIFS('Daily Plan'!$H:$H,'Daily Plan'!$C:$C,$A11,'Daily Plan'!$A:$A,DD$1)</f>
        <v/>
      </c>
      <c r="DE11" s="47">
        <f>SUMIFS('Daily Plan'!$H:$H,'Daily Plan'!$C:$C,$A11,'Daily Plan'!$A:$A,DE$1)</f>
        <v/>
      </c>
      <c r="DF11" s="47">
        <f>SUMIFS('Daily Plan'!$H:$H,'Daily Plan'!$C:$C,$A11,'Daily Plan'!$A:$A,DF$1)</f>
        <v/>
      </c>
      <c r="DG11" s="47">
        <f>SUMIFS('Daily Plan'!$H:$H,'Daily Plan'!$C:$C,$A11,'Daily Plan'!$A:$A,DG$1)</f>
        <v/>
      </c>
      <c r="DH11" s="47">
        <f>SUMIFS('Daily Plan'!$H:$H,'Daily Plan'!$C:$C,$A11,'Daily Plan'!$A:$A,DH$1)</f>
        <v/>
      </c>
      <c r="DI11" s="47">
        <f>SUMIFS('Daily Plan'!$H:$H,'Daily Plan'!$C:$C,$A11,'Daily Plan'!$A:$A,DI$1)</f>
        <v/>
      </c>
      <c r="DJ11" s="48">
        <f>SUMIFS('Daily Plan'!$H:$H,'Daily Plan'!$C:$C,$A11,'Daily Plan'!$A:$A,DJ$1)</f>
        <v/>
      </c>
      <c r="DK11" s="48">
        <f>SUMIFS('Daily Plan'!$H:$H,'Daily Plan'!$C:$C,$A11,'Daily Plan'!$A:$A,DK$1)</f>
        <v/>
      </c>
      <c r="DL11" s="47">
        <f>SUMIFS('Daily Plan'!$H:$H,'Daily Plan'!$C:$C,$A11,'Daily Plan'!$A:$A,DL$1)</f>
        <v/>
      </c>
      <c r="DM11" s="47">
        <f>SUMIFS('Daily Plan'!$H:$H,'Daily Plan'!$C:$C,$A11,'Daily Plan'!$A:$A,DM$1)</f>
        <v/>
      </c>
      <c r="DN11" s="47">
        <f>SUMIFS('Daily Plan'!$H:$H,'Daily Plan'!$C:$C,$A11,'Daily Plan'!$A:$A,DN$1)</f>
        <v/>
      </c>
      <c r="DO11" s="47">
        <f>SUMIFS('Daily Plan'!$H:$H,'Daily Plan'!$C:$C,$A11,'Daily Plan'!$A:$A,DO$1)</f>
        <v/>
      </c>
      <c r="DP11" s="47">
        <f>SUMIFS('Daily Plan'!$H:$H,'Daily Plan'!$C:$C,$A11,'Daily Plan'!$A:$A,DP$1)</f>
        <v/>
      </c>
      <c r="DQ11" s="48">
        <f>SUMIFS('Daily Plan'!$H:$H,'Daily Plan'!$C:$C,$A11,'Daily Plan'!$A:$A,DQ$1)</f>
        <v/>
      </c>
      <c r="DR11" s="48">
        <f>SUMIFS('Daily Plan'!$H:$H,'Daily Plan'!$C:$C,$A11,'Daily Plan'!$A:$A,DR$1)</f>
        <v/>
      </c>
      <c r="DS11" s="47">
        <f>SUMIFS('Daily Plan'!$H:$H,'Daily Plan'!$C:$C,$A11,'Daily Plan'!$A:$A,DS$1)</f>
        <v/>
      </c>
      <c r="DT11" s="47">
        <f>SUMIFS('Daily Plan'!$H:$H,'Daily Plan'!$C:$C,$A11,'Daily Plan'!$A:$A,DT$1)</f>
        <v/>
      </c>
      <c r="DU11" s="47">
        <f>SUMIFS('Daily Plan'!$H:$H,'Daily Plan'!$C:$C,$A11,'Daily Plan'!$A:$A,DU$1)</f>
        <v/>
      </c>
      <c r="DV11" s="47">
        <f>SUMIFS('Daily Plan'!$H:$H,'Daily Plan'!$C:$C,$A11,'Daily Plan'!$A:$A,DV$1)</f>
        <v/>
      </c>
      <c r="DW11" s="47">
        <f>SUMIFS('Daily Plan'!$H:$H,'Daily Plan'!$C:$C,$A11,'Daily Plan'!$A:$A,DW$1)</f>
        <v/>
      </c>
      <c r="DX11" s="48">
        <f>SUMIFS('Daily Plan'!$H:$H,'Daily Plan'!$C:$C,$A11,'Daily Plan'!$A:$A,DX$1)</f>
        <v/>
      </c>
      <c r="DY11" s="48">
        <f>SUMIFS('Daily Plan'!$H:$H,'Daily Plan'!$C:$C,$A11,'Daily Plan'!$A:$A,DY$1)</f>
        <v/>
      </c>
      <c r="DZ11" s="47">
        <f>SUMIFS('Daily Plan'!$H:$H,'Daily Plan'!$C:$C,$A11,'Daily Plan'!$A:$A,DZ$1)</f>
        <v/>
      </c>
      <c r="EA11" s="47">
        <f>SUMIFS('Daily Plan'!$H:$H,'Daily Plan'!$C:$C,$A11,'Daily Plan'!$A:$A,EA$1)</f>
        <v/>
      </c>
      <c r="EB11" s="47">
        <f>SUMIFS('Daily Plan'!$H:$H,'Daily Plan'!$C:$C,$A11,'Daily Plan'!$A:$A,EB$1)</f>
        <v/>
      </c>
      <c r="EC11" s="47">
        <f>SUMIFS('Daily Plan'!$H:$H,'Daily Plan'!$C:$C,$A11,'Daily Plan'!$A:$A,EC$1)</f>
        <v/>
      </c>
      <c r="ED11" s="47">
        <f>SUMIFS('Daily Plan'!$H:$H,'Daily Plan'!$C:$C,$A11,'Daily Plan'!$A:$A,ED$1)</f>
        <v/>
      </c>
      <c r="EE11" s="48">
        <f>SUMIFS('Daily Plan'!$H:$H,'Daily Plan'!$C:$C,$A11,'Daily Plan'!$A:$A,EE$1)</f>
        <v/>
      </c>
      <c r="EF11" s="48">
        <f>SUMIFS('Daily Plan'!$H:$H,'Daily Plan'!$C:$C,$A11,'Daily Plan'!$A:$A,EF$1)</f>
        <v/>
      </c>
      <c r="EG11" s="47">
        <f>SUMIFS('Daily Plan'!$H:$H,'Daily Plan'!$C:$C,$A11,'Daily Plan'!$A:$A,EG$1)</f>
        <v/>
      </c>
      <c r="EH11" s="47">
        <f>SUMIFS('Daily Plan'!$H:$H,'Daily Plan'!$C:$C,$A11,'Daily Plan'!$A:$A,EH$1)</f>
        <v/>
      </c>
      <c r="EI11" s="47">
        <f>SUMIFS('Daily Plan'!$H:$H,'Daily Plan'!$C:$C,$A11,'Daily Plan'!$A:$A,EI$1)</f>
        <v/>
      </c>
      <c r="EJ11" s="47">
        <f>SUMIFS('Daily Plan'!$H:$H,'Daily Plan'!$C:$C,$A11,'Daily Plan'!$A:$A,EJ$1)</f>
        <v/>
      </c>
      <c r="EK11" s="47">
        <f>SUMIFS('Daily Plan'!$H:$H,'Daily Plan'!$C:$C,$A11,'Daily Plan'!$A:$A,EK$1)</f>
        <v/>
      </c>
      <c r="EL11" s="48">
        <f>SUMIFS('Daily Plan'!$H:$H,'Daily Plan'!$C:$C,$A11,'Daily Plan'!$A:$A,EL$1)</f>
        <v/>
      </c>
      <c r="EM11" s="48">
        <f>SUMIFS('Daily Plan'!$H:$H,'Daily Plan'!$C:$C,$A11,'Daily Plan'!$A:$A,EM$1)</f>
        <v/>
      </c>
      <c r="EN11" s="47">
        <f>SUMIFS('Daily Plan'!$H:$H,'Daily Plan'!$C:$C,$A11,'Daily Plan'!$A:$A,EN$1)</f>
        <v/>
      </c>
      <c r="EO11" s="47">
        <f>SUMIFS('Daily Plan'!$H:$H,'Daily Plan'!$C:$C,$A11,'Daily Plan'!$A:$A,EO$1)</f>
        <v/>
      </c>
      <c r="EP11" s="47">
        <f>SUMIFS('Daily Plan'!$H:$H,'Daily Plan'!$C:$C,$A11,'Daily Plan'!$A:$A,EP$1)</f>
        <v/>
      </c>
      <c r="EQ11" s="47">
        <f>SUMIFS('Daily Plan'!$H:$H,'Daily Plan'!$C:$C,$A11,'Daily Plan'!$A:$A,EQ$1)</f>
        <v/>
      </c>
      <c r="ER11" s="47">
        <f>SUMIFS('Daily Plan'!$H:$H,'Daily Plan'!$C:$C,$A11,'Daily Plan'!$A:$A,ER$1)</f>
        <v/>
      </c>
      <c r="ES11" s="48">
        <f>SUMIFS('Daily Plan'!$H:$H,'Daily Plan'!$C:$C,$A11,'Daily Plan'!$A:$A,ES$1)</f>
        <v/>
      </c>
      <c r="ET11" s="48">
        <f>SUMIFS('Daily Plan'!$H:$H,'Daily Plan'!$C:$C,$A11,'Daily Plan'!$A:$A,ET$1)</f>
        <v/>
      </c>
      <c r="EU11" s="47">
        <f>SUMIFS('Daily Plan'!$H:$H,'Daily Plan'!$C:$C,$A11,'Daily Plan'!$A:$A,EU$1)</f>
        <v/>
      </c>
      <c r="EV11" s="47">
        <f>SUMIFS('Daily Plan'!$H:$H,'Daily Plan'!$C:$C,$A11,'Daily Plan'!$A:$A,EV$1)</f>
        <v/>
      </c>
      <c r="EW11" s="47">
        <f>SUMIFS('Daily Plan'!$H:$H,'Daily Plan'!$C:$C,$A11,'Daily Plan'!$A:$A,EW$1)</f>
        <v/>
      </c>
      <c r="EX11" s="47">
        <f>SUMIFS('Daily Plan'!$H:$H,'Daily Plan'!$C:$C,$A11,'Daily Plan'!$A:$A,EX$1)</f>
        <v/>
      </c>
      <c r="EY11" s="47">
        <f>SUMIFS('Daily Plan'!$H:$H,'Daily Plan'!$C:$C,$A11,'Daily Plan'!$A:$A,EY$1)</f>
        <v/>
      </c>
      <c r="EZ11" s="48">
        <f>SUMIFS('Daily Plan'!$H:$H,'Daily Plan'!$C:$C,$A11,'Daily Plan'!$A:$A,EZ$1)</f>
        <v/>
      </c>
      <c r="FA11" s="48">
        <f>SUMIFS('Daily Plan'!$H:$H,'Daily Plan'!$C:$C,$A11,'Daily Plan'!$A:$A,FA$1)</f>
        <v/>
      </c>
      <c r="FB11" s="47">
        <f>SUMIFS('Daily Plan'!$H:$H,'Daily Plan'!$C:$C,$A11,'Daily Plan'!$A:$A,FB$1)</f>
        <v/>
      </c>
      <c r="FC11" s="47">
        <f>SUMIFS('Daily Plan'!$H:$H,'Daily Plan'!$C:$C,$A11,'Daily Plan'!$A:$A,FC$1)</f>
        <v/>
      </c>
      <c r="FD11" s="47">
        <f>SUMIFS('Daily Plan'!$H:$H,'Daily Plan'!$C:$C,$A11,'Daily Plan'!$A:$A,FD$1)</f>
        <v/>
      </c>
      <c r="FE11" s="47">
        <f>SUMIFS('Daily Plan'!$H:$H,'Daily Plan'!$C:$C,$A11,'Daily Plan'!$A:$A,FE$1)</f>
        <v/>
      </c>
      <c r="FF11" s="47">
        <f>SUMIFS('Daily Plan'!$H:$H,'Daily Plan'!$C:$C,$A11,'Daily Plan'!$A:$A,FF$1)</f>
        <v/>
      </c>
      <c r="FG11" s="48">
        <f>SUMIFS('Daily Plan'!$H:$H,'Daily Plan'!$C:$C,$A11,'Daily Plan'!$A:$A,FG$1)</f>
        <v/>
      </c>
      <c r="FH11" s="48">
        <f>SUMIFS('Daily Plan'!$H:$H,'Daily Plan'!$C:$C,$A11,'Daily Plan'!$A:$A,FH$1)</f>
        <v/>
      </c>
      <c r="FI11" s="47">
        <f>SUMIFS('Daily Plan'!$H:$H,'Daily Plan'!$C:$C,$A11,'Daily Plan'!$A:$A,FI$1)</f>
        <v/>
      </c>
      <c r="FJ11" s="47">
        <f>SUMIFS('Daily Plan'!$H:$H,'Daily Plan'!$C:$C,$A11,'Daily Plan'!$A:$A,FJ$1)</f>
        <v/>
      </c>
      <c r="FK11" s="47">
        <f>SUMIFS('Daily Plan'!$H:$H,'Daily Plan'!$C:$C,$A11,'Daily Plan'!$A:$A,FK$1)</f>
        <v/>
      </c>
      <c r="FL11" s="47">
        <f>SUMIFS('Daily Plan'!$H:$H,'Daily Plan'!$C:$C,$A11,'Daily Plan'!$A:$A,FL$1)</f>
        <v/>
      </c>
      <c r="FM11" s="47">
        <f>SUMIFS('Daily Plan'!$H:$H,'Daily Plan'!$C:$C,$A11,'Daily Plan'!$A:$A,FM$1)</f>
        <v/>
      </c>
      <c r="FN11" s="48">
        <f>SUMIFS('Daily Plan'!$H:$H,'Daily Plan'!$C:$C,$A11,'Daily Plan'!$A:$A,FN$1)</f>
        <v/>
      </c>
      <c r="FO11" s="48">
        <f>SUMIFS('Daily Plan'!$H:$H,'Daily Plan'!$C:$C,$A11,'Daily Plan'!$A:$A,FO$1)</f>
        <v/>
      </c>
      <c r="FP11" s="47">
        <f>SUMIFS('Daily Plan'!$H:$H,'Daily Plan'!$C:$C,$A11,'Daily Plan'!$A:$A,FP$1)</f>
        <v/>
      </c>
      <c r="FQ11" s="47">
        <f>SUMIFS('Daily Plan'!$H:$H,'Daily Plan'!$C:$C,$A11,'Daily Plan'!$A:$A,FQ$1)</f>
        <v/>
      </c>
      <c r="FR11" s="47">
        <f>SUMIFS('Daily Plan'!$H:$H,'Daily Plan'!$C:$C,$A11,'Daily Plan'!$A:$A,FR$1)</f>
        <v/>
      </c>
      <c r="FS11" s="47">
        <f>SUMIFS('Daily Plan'!$H:$H,'Daily Plan'!$C:$C,$A11,'Daily Plan'!$A:$A,FS$1)</f>
        <v/>
      </c>
    </row>
    <row r="12">
      <c r="A12" s="23" t="inlineStr">
        <is>
          <t>DOC-3</t>
        </is>
      </c>
      <c r="B12" s="23" t="inlineStr">
        <is>
          <t>文档</t>
        </is>
      </c>
      <c r="C12" s="2" t="inlineStr">
        <is>
          <t>trade-off 分析</t>
        </is>
      </c>
      <c r="D12" s="43" t="n">
        <v>46265</v>
      </c>
      <c r="E12" s="43" t="n">
        <v>46276</v>
      </c>
      <c r="F12" s="23" t="inlineStr">
        <is>
          <t>pending</t>
        </is>
      </c>
      <c r="G12" s="44">
        <f>SUMIF('Daily Plan'!$C:$C,A12,'Daily Plan'!$H:$H)</f>
        <v/>
      </c>
      <c r="H12" s="44">
        <f>SUMIF('Daily Plan'!$C:$C,A12,'Daily Plan'!$I:$I)</f>
        <v/>
      </c>
      <c r="I12" s="44">
        <f>MAX(G12-H12,0)</f>
        <v/>
      </c>
      <c r="J12" s="25">
        <f>IF(G12=0,IF(F12="done",1,0),H12/G12)</f>
        <v/>
      </c>
      <c r="K12" s="2" t="inlineStr">
        <is>
          <t>TEST-1</t>
        </is>
      </c>
      <c r="L12" s="2" t="inlineStr">
        <is>
          <t>cost/cash/service 报告</t>
        </is>
      </c>
      <c r="M12" s="47">
        <f>SUMIFS('Daily Plan'!$H:$H,'Daily Plan'!$C:$C,$A12,'Daily Plan'!$A:$A,M$1)</f>
        <v/>
      </c>
      <c r="N12" s="47">
        <f>SUMIFS('Daily Plan'!$H:$H,'Daily Plan'!$C:$C,$A12,'Daily Plan'!$A:$A,N$1)</f>
        <v/>
      </c>
      <c r="O12" s="47">
        <f>SUMIFS('Daily Plan'!$H:$H,'Daily Plan'!$C:$C,$A12,'Daily Plan'!$A:$A,O$1)</f>
        <v/>
      </c>
      <c r="P12" s="48">
        <f>SUMIFS('Daily Plan'!$H:$H,'Daily Plan'!$C:$C,$A12,'Daily Plan'!$A:$A,P$1)</f>
        <v/>
      </c>
      <c r="Q12" s="48">
        <f>SUMIFS('Daily Plan'!$H:$H,'Daily Plan'!$C:$C,$A12,'Daily Plan'!$A:$A,Q$1)</f>
        <v/>
      </c>
      <c r="R12" s="47">
        <f>SUMIFS('Daily Plan'!$H:$H,'Daily Plan'!$C:$C,$A12,'Daily Plan'!$A:$A,R$1)</f>
        <v/>
      </c>
      <c r="S12" s="47">
        <f>SUMIFS('Daily Plan'!$H:$H,'Daily Plan'!$C:$C,$A12,'Daily Plan'!$A:$A,S$1)</f>
        <v/>
      </c>
      <c r="T12" s="47">
        <f>SUMIFS('Daily Plan'!$H:$H,'Daily Plan'!$C:$C,$A12,'Daily Plan'!$A:$A,T$1)</f>
        <v/>
      </c>
      <c r="U12" s="47">
        <f>SUMIFS('Daily Plan'!$H:$H,'Daily Plan'!$C:$C,$A12,'Daily Plan'!$A:$A,U$1)</f>
        <v/>
      </c>
      <c r="V12" s="47">
        <f>SUMIFS('Daily Plan'!$H:$H,'Daily Plan'!$C:$C,$A12,'Daily Plan'!$A:$A,V$1)</f>
        <v/>
      </c>
      <c r="W12" s="48">
        <f>SUMIFS('Daily Plan'!$H:$H,'Daily Plan'!$C:$C,$A12,'Daily Plan'!$A:$A,W$1)</f>
        <v/>
      </c>
      <c r="X12" s="48">
        <f>SUMIFS('Daily Plan'!$H:$H,'Daily Plan'!$C:$C,$A12,'Daily Plan'!$A:$A,X$1)</f>
        <v/>
      </c>
      <c r="Y12" s="47">
        <f>SUMIFS('Daily Plan'!$H:$H,'Daily Plan'!$C:$C,$A12,'Daily Plan'!$A:$A,Y$1)</f>
        <v/>
      </c>
      <c r="Z12" s="47">
        <f>SUMIFS('Daily Plan'!$H:$H,'Daily Plan'!$C:$C,$A12,'Daily Plan'!$A:$A,Z$1)</f>
        <v/>
      </c>
      <c r="AA12" s="47">
        <f>SUMIFS('Daily Plan'!$H:$H,'Daily Plan'!$C:$C,$A12,'Daily Plan'!$A:$A,AA$1)</f>
        <v/>
      </c>
      <c r="AB12" s="47">
        <f>SUMIFS('Daily Plan'!$H:$H,'Daily Plan'!$C:$C,$A12,'Daily Plan'!$A:$A,AB$1)</f>
        <v/>
      </c>
      <c r="AC12" s="47">
        <f>SUMIFS('Daily Plan'!$H:$H,'Daily Plan'!$C:$C,$A12,'Daily Plan'!$A:$A,AC$1)</f>
        <v/>
      </c>
      <c r="AD12" s="48">
        <f>SUMIFS('Daily Plan'!$H:$H,'Daily Plan'!$C:$C,$A12,'Daily Plan'!$A:$A,AD$1)</f>
        <v/>
      </c>
      <c r="AE12" s="48">
        <f>SUMIFS('Daily Plan'!$H:$H,'Daily Plan'!$C:$C,$A12,'Daily Plan'!$A:$A,AE$1)</f>
        <v/>
      </c>
      <c r="AF12" s="47">
        <f>SUMIFS('Daily Plan'!$H:$H,'Daily Plan'!$C:$C,$A12,'Daily Plan'!$A:$A,AF$1)</f>
        <v/>
      </c>
      <c r="AG12" s="47">
        <f>SUMIFS('Daily Plan'!$H:$H,'Daily Plan'!$C:$C,$A12,'Daily Plan'!$A:$A,AG$1)</f>
        <v/>
      </c>
      <c r="AH12" s="47">
        <f>SUMIFS('Daily Plan'!$H:$H,'Daily Plan'!$C:$C,$A12,'Daily Plan'!$A:$A,AH$1)</f>
        <v/>
      </c>
      <c r="AI12" s="47">
        <f>SUMIFS('Daily Plan'!$H:$H,'Daily Plan'!$C:$C,$A12,'Daily Plan'!$A:$A,AI$1)</f>
        <v/>
      </c>
      <c r="AJ12" s="47">
        <f>SUMIFS('Daily Plan'!$H:$H,'Daily Plan'!$C:$C,$A12,'Daily Plan'!$A:$A,AJ$1)</f>
        <v/>
      </c>
      <c r="AK12" s="48">
        <f>SUMIFS('Daily Plan'!$H:$H,'Daily Plan'!$C:$C,$A12,'Daily Plan'!$A:$A,AK$1)</f>
        <v/>
      </c>
      <c r="AL12" s="48">
        <f>SUMIFS('Daily Plan'!$H:$H,'Daily Plan'!$C:$C,$A12,'Daily Plan'!$A:$A,AL$1)</f>
        <v/>
      </c>
      <c r="AM12" s="47">
        <f>SUMIFS('Daily Plan'!$H:$H,'Daily Plan'!$C:$C,$A12,'Daily Plan'!$A:$A,AM$1)</f>
        <v/>
      </c>
      <c r="AN12" s="47">
        <f>SUMIFS('Daily Plan'!$H:$H,'Daily Plan'!$C:$C,$A12,'Daily Plan'!$A:$A,AN$1)</f>
        <v/>
      </c>
      <c r="AO12" s="47">
        <f>SUMIFS('Daily Plan'!$H:$H,'Daily Plan'!$C:$C,$A12,'Daily Plan'!$A:$A,AO$1)</f>
        <v/>
      </c>
      <c r="AP12" s="47">
        <f>SUMIFS('Daily Plan'!$H:$H,'Daily Plan'!$C:$C,$A12,'Daily Plan'!$A:$A,AP$1)</f>
        <v/>
      </c>
      <c r="AQ12" s="47">
        <f>SUMIFS('Daily Plan'!$H:$H,'Daily Plan'!$C:$C,$A12,'Daily Plan'!$A:$A,AQ$1)</f>
        <v/>
      </c>
      <c r="AR12" s="48">
        <f>SUMIFS('Daily Plan'!$H:$H,'Daily Plan'!$C:$C,$A12,'Daily Plan'!$A:$A,AR$1)</f>
        <v/>
      </c>
      <c r="AS12" s="48">
        <f>SUMIFS('Daily Plan'!$H:$H,'Daily Plan'!$C:$C,$A12,'Daily Plan'!$A:$A,AS$1)</f>
        <v/>
      </c>
      <c r="AT12" s="47">
        <f>SUMIFS('Daily Plan'!$H:$H,'Daily Plan'!$C:$C,$A12,'Daily Plan'!$A:$A,AT$1)</f>
        <v/>
      </c>
      <c r="AU12" s="47">
        <f>SUMIFS('Daily Plan'!$H:$H,'Daily Plan'!$C:$C,$A12,'Daily Plan'!$A:$A,AU$1)</f>
        <v/>
      </c>
      <c r="AV12" s="47">
        <f>SUMIFS('Daily Plan'!$H:$H,'Daily Plan'!$C:$C,$A12,'Daily Plan'!$A:$A,AV$1)</f>
        <v/>
      </c>
      <c r="AW12" s="47">
        <f>SUMIFS('Daily Plan'!$H:$H,'Daily Plan'!$C:$C,$A12,'Daily Plan'!$A:$A,AW$1)</f>
        <v/>
      </c>
      <c r="AX12" s="47">
        <f>SUMIFS('Daily Plan'!$H:$H,'Daily Plan'!$C:$C,$A12,'Daily Plan'!$A:$A,AX$1)</f>
        <v/>
      </c>
      <c r="AY12" s="48">
        <f>SUMIFS('Daily Plan'!$H:$H,'Daily Plan'!$C:$C,$A12,'Daily Plan'!$A:$A,AY$1)</f>
        <v/>
      </c>
      <c r="AZ12" s="48">
        <f>SUMIFS('Daily Plan'!$H:$H,'Daily Plan'!$C:$C,$A12,'Daily Plan'!$A:$A,AZ$1)</f>
        <v/>
      </c>
      <c r="BA12" s="47">
        <f>SUMIFS('Daily Plan'!$H:$H,'Daily Plan'!$C:$C,$A12,'Daily Plan'!$A:$A,BA$1)</f>
        <v/>
      </c>
      <c r="BB12" s="47">
        <f>SUMIFS('Daily Plan'!$H:$H,'Daily Plan'!$C:$C,$A12,'Daily Plan'!$A:$A,BB$1)</f>
        <v/>
      </c>
      <c r="BC12" s="47">
        <f>SUMIFS('Daily Plan'!$H:$H,'Daily Plan'!$C:$C,$A12,'Daily Plan'!$A:$A,BC$1)</f>
        <v/>
      </c>
      <c r="BD12" s="47">
        <f>SUMIFS('Daily Plan'!$H:$H,'Daily Plan'!$C:$C,$A12,'Daily Plan'!$A:$A,BD$1)</f>
        <v/>
      </c>
      <c r="BE12" s="47">
        <f>SUMIFS('Daily Plan'!$H:$H,'Daily Plan'!$C:$C,$A12,'Daily Plan'!$A:$A,BE$1)</f>
        <v/>
      </c>
      <c r="BF12" s="48">
        <f>SUMIFS('Daily Plan'!$H:$H,'Daily Plan'!$C:$C,$A12,'Daily Plan'!$A:$A,BF$1)</f>
        <v/>
      </c>
      <c r="BG12" s="48">
        <f>SUMIFS('Daily Plan'!$H:$H,'Daily Plan'!$C:$C,$A12,'Daily Plan'!$A:$A,BG$1)</f>
        <v/>
      </c>
      <c r="BH12" s="47">
        <f>SUMIFS('Daily Plan'!$H:$H,'Daily Plan'!$C:$C,$A12,'Daily Plan'!$A:$A,BH$1)</f>
        <v/>
      </c>
      <c r="BI12" s="47">
        <f>SUMIFS('Daily Plan'!$H:$H,'Daily Plan'!$C:$C,$A12,'Daily Plan'!$A:$A,BI$1)</f>
        <v/>
      </c>
      <c r="BJ12" s="47">
        <f>SUMIFS('Daily Plan'!$H:$H,'Daily Plan'!$C:$C,$A12,'Daily Plan'!$A:$A,BJ$1)</f>
        <v/>
      </c>
      <c r="BK12" s="47">
        <f>SUMIFS('Daily Plan'!$H:$H,'Daily Plan'!$C:$C,$A12,'Daily Plan'!$A:$A,BK$1)</f>
        <v/>
      </c>
      <c r="BL12" s="47">
        <f>SUMIFS('Daily Plan'!$H:$H,'Daily Plan'!$C:$C,$A12,'Daily Plan'!$A:$A,BL$1)</f>
        <v/>
      </c>
      <c r="BM12" s="48">
        <f>SUMIFS('Daily Plan'!$H:$H,'Daily Plan'!$C:$C,$A12,'Daily Plan'!$A:$A,BM$1)</f>
        <v/>
      </c>
      <c r="BN12" s="48">
        <f>SUMIFS('Daily Plan'!$H:$H,'Daily Plan'!$C:$C,$A12,'Daily Plan'!$A:$A,BN$1)</f>
        <v/>
      </c>
      <c r="BO12" s="47">
        <f>SUMIFS('Daily Plan'!$H:$H,'Daily Plan'!$C:$C,$A12,'Daily Plan'!$A:$A,BO$1)</f>
        <v/>
      </c>
      <c r="BP12" s="47">
        <f>SUMIFS('Daily Plan'!$H:$H,'Daily Plan'!$C:$C,$A12,'Daily Plan'!$A:$A,BP$1)</f>
        <v/>
      </c>
      <c r="BQ12" s="47">
        <f>SUMIFS('Daily Plan'!$H:$H,'Daily Plan'!$C:$C,$A12,'Daily Plan'!$A:$A,BQ$1)</f>
        <v/>
      </c>
      <c r="BR12" s="47">
        <f>SUMIFS('Daily Plan'!$H:$H,'Daily Plan'!$C:$C,$A12,'Daily Plan'!$A:$A,BR$1)</f>
        <v/>
      </c>
      <c r="BS12" s="47">
        <f>SUMIFS('Daily Plan'!$H:$H,'Daily Plan'!$C:$C,$A12,'Daily Plan'!$A:$A,BS$1)</f>
        <v/>
      </c>
      <c r="BT12" s="48">
        <f>SUMIFS('Daily Plan'!$H:$H,'Daily Plan'!$C:$C,$A12,'Daily Plan'!$A:$A,BT$1)</f>
        <v/>
      </c>
      <c r="BU12" s="48">
        <f>SUMIFS('Daily Plan'!$H:$H,'Daily Plan'!$C:$C,$A12,'Daily Plan'!$A:$A,BU$1)</f>
        <v/>
      </c>
      <c r="BV12" s="47">
        <f>SUMIFS('Daily Plan'!$H:$H,'Daily Plan'!$C:$C,$A12,'Daily Plan'!$A:$A,BV$1)</f>
        <v/>
      </c>
      <c r="BW12" s="47">
        <f>SUMIFS('Daily Plan'!$H:$H,'Daily Plan'!$C:$C,$A12,'Daily Plan'!$A:$A,BW$1)</f>
        <v/>
      </c>
      <c r="BX12" s="47">
        <f>SUMIFS('Daily Plan'!$H:$H,'Daily Plan'!$C:$C,$A12,'Daily Plan'!$A:$A,BX$1)</f>
        <v/>
      </c>
      <c r="BY12" s="47">
        <f>SUMIFS('Daily Plan'!$H:$H,'Daily Plan'!$C:$C,$A12,'Daily Plan'!$A:$A,BY$1)</f>
        <v/>
      </c>
      <c r="BZ12" s="47">
        <f>SUMIFS('Daily Plan'!$H:$H,'Daily Plan'!$C:$C,$A12,'Daily Plan'!$A:$A,BZ$1)</f>
        <v/>
      </c>
      <c r="CA12" s="48">
        <f>SUMIFS('Daily Plan'!$H:$H,'Daily Plan'!$C:$C,$A12,'Daily Plan'!$A:$A,CA$1)</f>
        <v/>
      </c>
      <c r="CB12" s="48">
        <f>SUMIFS('Daily Plan'!$H:$H,'Daily Plan'!$C:$C,$A12,'Daily Plan'!$A:$A,CB$1)</f>
        <v/>
      </c>
      <c r="CC12" s="47">
        <f>SUMIFS('Daily Plan'!$H:$H,'Daily Plan'!$C:$C,$A12,'Daily Plan'!$A:$A,CC$1)</f>
        <v/>
      </c>
      <c r="CD12" s="47">
        <f>SUMIFS('Daily Plan'!$H:$H,'Daily Plan'!$C:$C,$A12,'Daily Plan'!$A:$A,CD$1)</f>
        <v/>
      </c>
      <c r="CE12" s="47">
        <f>SUMIFS('Daily Plan'!$H:$H,'Daily Plan'!$C:$C,$A12,'Daily Plan'!$A:$A,CE$1)</f>
        <v/>
      </c>
      <c r="CF12" s="47">
        <f>SUMIFS('Daily Plan'!$H:$H,'Daily Plan'!$C:$C,$A12,'Daily Plan'!$A:$A,CF$1)</f>
        <v/>
      </c>
      <c r="CG12" s="47">
        <f>SUMIFS('Daily Plan'!$H:$H,'Daily Plan'!$C:$C,$A12,'Daily Plan'!$A:$A,CG$1)</f>
        <v/>
      </c>
      <c r="CH12" s="48">
        <f>SUMIFS('Daily Plan'!$H:$H,'Daily Plan'!$C:$C,$A12,'Daily Plan'!$A:$A,CH$1)</f>
        <v/>
      </c>
      <c r="CI12" s="48">
        <f>SUMIFS('Daily Plan'!$H:$H,'Daily Plan'!$C:$C,$A12,'Daily Plan'!$A:$A,CI$1)</f>
        <v/>
      </c>
      <c r="CJ12" s="47">
        <f>SUMIFS('Daily Plan'!$H:$H,'Daily Plan'!$C:$C,$A12,'Daily Plan'!$A:$A,CJ$1)</f>
        <v/>
      </c>
      <c r="CK12" s="47">
        <f>SUMIFS('Daily Plan'!$H:$H,'Daily Plan'!$C:$C,$A12,'Daily Plan'!$A:$A,CK$1)</f>
        <v/>
      </c>
      <c r="CL12" s="47">
        <f>SUMIFS('Daily Plan'!$H:$H,'Daily Plan'!$C:$C,$A12,'Daily Plan'!$A:$A,CL$1)</f>
        <v/>
      </c>
      <c r="CM12" s="47">
        <f>SUMIFS('Daily Plan'!$H:$H,'Daily Plan'!$C:$C,$A12,'Daily Plan'!$A:$A,CM$1)</f>
        <v/>
      </c>
      <c r="CN12" s="47">
        <f>SUMIFS('Daily Plan'!$H:$H,'Daily Plan'!$C:$C,$A12,'Daily Plan'!$A:$A,CN$1)</f>
        <v/>
      </c>
      <c r="CO12" s="48">
        <f>SUMIFS('Daily Plan'!$H:$H,'Daily Plan'!$C:$C,$A12,'Daily Plan'!$A:$A,CO$1)</f>
        <v/>
      </c>
      <c r="CP12" s="48">
        <f>SUMIFS('Daily Plan'!$H:$H,'Daily Plan'!$C:$C,$A12,'Daily Plan'!$A:$A,CP$1)</f>
        <v/>
      </c>
      <c r="CQ12" s="47">
        <f>SUMIFS('Daily Plan'!$H:$H,'Daily Plan'!$C:$C,$A12,'Daily Plan'!$A:$A,CQ$1)</f>
        <v/>
      </c>
      <c r="CR12" s="47">
        <f>SUMIFS('Daily Plan'!$H:$H,'Daily Plan'!$C:$C,$A12,'Daily Plan'!$A:$A,CR$1)</f>
        <v/>
      </c>
      <c r="CS12" s="47">
        <f>SUMIFS('Daily Plan'!$H:$H,'Daily Plan'!$C:$C,$A12,'Daily Plan'!$A:$A,CS$1)</f>
        <v/>
      </c>
      <c r="CT12" s="47">
        <f>SUMIFS('Daily Plan'!$H:$H,'Daily Plan'!$C:$C,$A12,'Daily Plan'!$A:$A,CT$1)</f>
        <v/>
      </c>
      <c r="CU12" s="47">
        <f>SUMIFS('Daily Plan'!$H:$H,'Daily Plan'!$C:$C,$A12,'Daily Plan'!$A:$A,CU$1)</f>
        <v/>
      </c>
      <c r="CV12" s="48">
        <f>SUMIFS('Daily Plan'!$H:$H,'Daily Plan'!$C:$C,$A12,'Daily Plan'!$A:$A,CV$1)</f>
        <v/>
      </c>
      <c r="CW12" s="48">
        <f>SUMIFS('Daily Plan'!$H:$H,'Daily Plan'!$C:$C,$A12,'Daily Plan'!$A:$A,CW$1)</f>
        <v/>
      </c>
      <c r="CX12" s="47">
        <f>SUMIFS('Daily Plan'!$H:$H,'Daily Plan'!$C:$C,$A12,'Daily Plan'!$A:$A,CX$1)</f>
        <v/>
      </c>
      <c r="CY12" s="47">
        <f>SUMIFS('Daily Plan'!$H:$H,'Daily Plan'!$C:$C,$A12,'Daily Plan'!$A:$A,CY$1)</f>
        <v/>
      </c>
      <c r="CZ12" s="47">
        <f>SUMIFS('Daily Plan'!$H:$H,'Daily Plan'!$C:$C,$A12,'Daily Plan'!$A:$A,CZ$1)</f>
        <v/>
      </c>
      <c r="DA12" s="47">
        <f>SUMIFS('Daily Plan'!$H:$H,'Daily Plan'!$C:$C,$A12,'Daily Plan'!$A:$A,DA$1)</f>
        <v/>
      </c>
      <c r="DB12" s="47">
        <f>SUMIFS('Daily Plan'!$H:$H,'Daily Plan'!$C:$C,$A12,'Daily Plan'!$A:$A,DB$1)</f>
        <v/>
      </c>
      <c r="DC12" s="48">
        <f>SUMIFS('Daily Plan'!$H:$H,'Daily Plan'!$C:$C,$A12,'Daily Plan'!$A:$A,DC$1)</f>
        <v/>
      </c>
      <c r="DD12" s="48">
        <f>SUMIFS('Daily Plan'!$H:$H,'Daily Plan'!$C:$C,$A12,'Daily Plan'!$A:$A,DD$1)</f>
        <v/>
      </c>
      <c r="DE12" s="47">
        <f>SUMIFS('Daily Plan'!$H:$H,'Daily Plan'!$C:$C,$A12,'Daily Plan'!$A:$A,DE$1)</f>
        <v/>
      </c>
      <c r="DF12" s="47">
        <f>SUMIFS('Daily Plan'!$H:$H,'Daily Plan'!$C:$C,$A12,'Daily Plan'!$A:$A,DF$1)</f>
        <v/>
      </c>
      <c r="DG12" s="47">
        <f>SUMIFS('Daily Plan'!$H:$H,'Daily Plan'!$C:$C,$A12,'Daily Plan'!$A:$A,DG$1)</f>
        <v/>
      </c>
      <c r="DH12" s="47">
        <f>SUMIFS('Daily Plan'!$H:$H,'Daily Plan'!$C:$C,$A12,'Daily Plan'!$A:$A,DH$1)</f>
        <v/>
      </c>
      <c r="DI12" s="47">
        <f>SUMIFS('Daily Plan'!$H:$H,'Daily Plan'!$C:$C,$A12,'Daily Plan'!$A:$A,DI$1)</f>
        <v/>
      </c>
      <c r="DJ12" s="48">
        <f>SUMIFS('Daily Plan'!$H:$H,'Daily Plan'!$C:$C,$A12,'Daily Plan'!$A:$A,DJ$1)</f>
        <v/>
      </c>
      <c r="DK12" s="48">
        <f>SUMIFS('Daily Plan'!$H:$H,'Daily Plan'!$C:$C,$A12,'Daily Plan'!$A:$A,DK$1)</f>
        <v/>
      </c>
      <c r="DL12" s="47">
        <f>SUMIFS('Daily Plan'!$H:$H,'Daily Plan'!$C:$C,$A12,'Daily Plan'!$A:$A,DL$1)</f>
        <v/>
      </c>
      <c r="DM12" s="47">
        <f>SUMIFS('Daily Plan'!$H:$H,'Daily Plan'!$C:$C,$A12,'Daily Plan'!$A:$A,DM$1)</f>
        <v/>
      </c>
      <c r="DN12" s="47">
        <f>SUMIFS('Daily Plan'!$H:$H,'Daily Plan'!$C:$C,$A12,'Daily Plan'!$A:$A,DN$1)</f>
        <v/>
      </c>
      <c r="DO12" s="47">
        <f>SUMIFS('Daily Plan'!$H:$H,'Daily Plan'!$C:$C,$A12,'Daily Plan'!$A:$A,DO$1)</f>
        <v/>
      </c>
      <c r="DP12" s="47">
        <f>SUMIFS('Daily Plan'!$H:$H,'Daily Plan'!$C:$C,$A12,'Daily Plan'!$A:$A,DP$1)</f>
        <v/>
      </c>
      <c r="DQ12" s="48">
        <f>SUMIFS('Daily Plan'!$H:$H,'Daily Plan'!$C:$C,$A12,'Daily Plan'!$A:$A,DQ$1)</f>
        <v/>
      </c>
      <c r="DR12" s="48">
        <f>SUMIFS('Daily Plan'!$H:$H,'Daily Plan'!$C:$C,$A12,'Daily Plan'!$A:$A,DR$1)</f>
        <v/>
      </c>
      <c r="DS12" s="47">
        <f>SUMIFS('Daily Plan'!$H:$H,'Daily Plan'!$C:$C,$A12,'Daily Plan'!$A:$A,DS$1)</f>
        <v/>
      </c>
      <c r="DT12" s="47">
        <f>SUMIFS('Daily Plan'!$H:$H,'Daily Plan'!$C:$C,$A12,'Daily Plan'!$A:$A,DT$1)</f>
        <v/>
      </c>
      <c r="DU12" s="47">
        <f>SUMIFS('Daily Plan'!$H:$H,'Daily Plan'!$C:$C,$A12,'Daily Plan'!$A:$A,DU$1)</f>
        <v/>
      </c>
      <c r="DV12" s="47">
        <f>SUMIFS('Daily Plan'!$H:$H,'Daily Plan'!$C:$C,$A12,'Daily Plan'!$A:$A,DV$1)</f>
        <v/>
      </c>
      <c r="DW12" s="47">
        <f>SUMIFS('Daily Plan'!$H:$H,'Daily Plan'!$C:$C,$A12,'Daily Plan'!$A:$A,DW$1)</f>
        <v/>
      </c>
      <c r="DX12" s="48">
        <f>SUMIFS('Daily Plan'!$H:$H,'Daily Plan'!$C:$C,$A12,'Daily Plan'!$A:$A,DX$1)</f>
        <v/>
      </c>
      <c r="DY12" s="48">
        <f>SUMIFS('Daily Plan'!$H:$H,'Daily Plan'!$C:$C,$A12,'Daily Plan'!$A:$A,DY$1)</f>
        <v/>
      </c>
      <c r="DZ12" s="47">
        <f>SUMIFS('Daily Plan'!$H:$H,'Daily Plan'!$C:$C,$A12,'Daily Plan'!$A:$A,DZ$1)</f>
        <v/>
      </c>
      <c r="EA12" s="47">
        <f>SUMIFS('Daily Plan'!$H:$H,'Daily Plan'!$C:$C,$A12,'Daily Plan'!$A:$A,EA$1)</f>
        <v/>
      </c>
      <c r="EB12" s="47">
        <f>SUMIFS('Daily Plan'!$H:$H,'Daily Plan'!$C:$C,$A12,'Daily Plan'!$A:$A,EB$1)</f>
        <v/>
      </c>
      <c r="EC12" s="47">
        <f>SUMIFS('Daily Plan'!$H:$H,'Daily Plan'!$C:$C,$A12,'Daily Plan'!$A:$A,EC$1)</f>
        <v/>
      </c>
      <c r="ED12" s="47">
        <f>SUMIFS('Daily Plan'!$H:$H,'Daily Plan'!$C:$C,$A12,'Daily Plan'!$A:$A,ED$1)</f>
        <v/>
      </c>
      <c r="EE12" s="48">
        <f>SUMIFS('Daily Plan'!$H:$H,'Daily Plan'!$C:$C,$A12,'Daily Plan'!$A:$A,EE$1)</f>
        <v/>
      </c>
      <c r="EF12" s="48">
        <f>SUMIFS('Daily Plan'!$H:$H,'Daily Plan'!$C:$C,$A12,'Daily Plan'!$A:$A,EF$1)</f>
        <v/>
      </c>
      <c r="EG12" s="47">
        <f>SUMIFS('Daily Plan'!$H:$H,'Daily Plan'!$C:$C,$A12,'Daily Plan'!$A:$A,EG$1)</f>
        <v/>
      </c>
      <c r="EH12" s="47">
        <f>SUMIFS('Daily Plan'!$H:$H,'Daily Plan'!$C:$C,$A12,'Daily Plan'!$A:$A,EH$1)</f>
        <v/>
      </c>
      <c r="EI12" s="47">
        <f>SUMIFS('Daily Plan'!$H:$H,'Daily Plan'!$C:$C,$A12,'Daily Plan'!$A:$A,EI$1)</f>
        <v/>
      </c>
      <c r="EJ12" s="47">
        <f>SUMIFS('Daily Plan'!$H:$H,'Daily Plan'!$C:$C,$A12,'Daily Plan'!$A:$A,EJ$1)</f>
        <v/>
      </c>
      <c r="EK12" s="47">
        <f>SUMIFS('Daily Plan'!$H:$H,'Daily Plan'!$C:$C,$A12,'Daily Plan'!$A:$A,EK$1)</f>
        <v/>
      </c>
      <c r="EL12" s="48">
        <f>SUMIFS('Daily Plan'!$H:$H,'Daily Plan'!$C:$C,$A12,'Daily Plan'!$A:$A,EL$1)</f>
        <v/>
      </c>
      <c r="EM12" s="48">
        <f>SUMIFS('Daily Plan'!$H:$H,'Daily Plan'!$C:$C,$A12,'Daily Plan'!$A:$A,EM$1)</f>
        <v/>
      </c>
      <c r="EN12" s="47">
        <f>SUMIFS('Daily Plan'!$H:$H,'Daily Plan'!$C:$C,$A12,'Daily Plan'!$A:$A,EN$1)</f>
        <v/>
      </c>
      <c r="EO12" s="47">
        <f>SUMIFS('Daily Plan'!$H:$H,'Daily Plan'!$C:$C,$A12,'Daily Plan'!$A:$A,EO$1)</f>
        <v/>
      </c>
      <c r="EP12" s="47">
        <f>SUMIFS('Daily Plan'!$H:$H,'Daily Plan'!$C:$C,$A12,'Daily Plan'!$A:$A,EP$1)</f>
        <v/>
      </c>
      <c r="EQ12" s="47">
        <f>SUMIFS('Daily Plan'!$H:$H,'Daily Plan'!$C:$C,$A12,'Daily Plan'!$A:$A,EQ$1)</f>
        <v/>
      </c>
      <c r="ER12" s="47">
        <f>SUMIFS('Daily Plan'!$H:$H,'Daily Plan'!$C:$C,$A12,'Daily Plan'!$A:$A,ER$1)</f>
        <v/>
      </c>
      <c r="ES12" s="48">
        <f>SUMIFS('Daily Plan'!$H:$H,'Daily Plan'!$C:$C,$A12,'Daily Plan'!$A:$A,ES$1)</f>
        <v/>
      </c>
      <c r="ET12" s="48">
        <f>SUMIFS('Daily Plan'!$H:$H,'Daily Plan'!$C:$C,$A12,'Daily Plan'!$A:$A,ET$1)</f>
        <v/>
      </c>
      <c r="EU12" s="47">
        <f>SUMIFS('Daily Plan'!$H:$H,'Daily Plan'!$C:$C,$A12,'Daily Plan'!$A:$A,EU$1)</f>
        <v/>
      </c>
      <c r="EV12" s="47">
        <f>SUMIFS('Daily Plan'!$H:$H,'Daily Plan'!$C:$C,$A12,'Daily Plan'!$A:$A,EV$1)</f>
        <v/>
      </c>
      <c r="EW12" s="47">
        <f>SUMIFS('Daily Plan'!$H:$H,'Daily Plan'!$C:$C,$A12,'Daily Plan'!$A:$A,EW$1)</f>
        <v/>
      </c>
      <c r="EX12" s="47">
        <f>SUMIFS('Daily Plan'!$H:$H,'Daily Plan'!$C:$C,$A12,'Daily Plan'!$A:$A,EX$1)</f>
        <v/>
      </c>
      <c r="EY12" s="47">
        <f>SUMIFS('Daily Plan'!$H:$H,'Daily Plan'!$C:$C,$A12,'Daily Plan'!$A:$A,EY$1)</f>
        <v/>
      </c>
      <c r="EZ12" s="48">
        <f>SUMIFS('Daily Plan'!$H:$H,'Daily Plan'!$C:$C,$A12,'Daily Plan'!$A:$A,EZ$1)</f>
        <v/>
      </c>
      <c r="FA12" s="48">
        <f>SUMIFS('Daily Plan'!$H:$H,'Daily Plan'!$C:$C,$A12,'Daily Plan'!$A:$A,FA$1)</f>
        <v/>
      </c>
      <c r="FB12" s="47">
        <f>SUMIFS('Daily Plan'!$H:$H,'Daily Plan'!$C:$C,$A12,'Daily Plan'!$A:$A,FB$1)</f>
        <v/>
      </c>
      <c r="FC12" s="47">
        <f>SUMIFS('Daily Plan'!$H:$H,'Daily Plan'!$C:$C,$A12,'Daily Plan'!$A:$A,FC$1)</f>
        <v/>
      </c>
      <c r="FD12" s="47">
        <f>SUMIFS('Daily Plan'!$H:$H,'Daily Plan'!$C:$C,$A12,'Daily Plan'!$A:$A,FD$1)</f>
        <v/>
      </c>
      <c r="FE12" s="47">
        <f>SUMIFS('Daily Plan'!$H:$H,'Daily Plan'!$C:$C,$A12,'Daily Plan'!$A:$A,FE$1)</f>
        <v/>
      </c>
      <c r="FF12" s="47">
        <f>SUMIFS('Daily Plan'!$H:$H,'Daily Plan'!$C:$C,$A12,'Daily Plan'!$A:$A,FF$1)</f>
        <v/>
      </c>
      <c r="FG12" s="48">
        <f>SUMIFS('Daily Plan'!$H:$H,'Daily Plan'!$C:$C,$A12,'Daily Plan'!$A:$A,FG$1)</f>
        <v/>
      </c>
      <c r="FH12" s="48">
        <f>SUMIFS('Daily Plan'!$H:$H,'Daily Plan'!$C:$C,$A12,'Daily Plan'!$A:$A,FH$1)</f>
        <v/>
      </c>
      <c r="FI12" s="47">
        <f>SUMIFS('Daily Plan'!$H:$H,'Daily Plan'!$C:$C,$A12,'Daily Plan'!$A:$A,FI$1)</f>
        <v/>
      </c>
      <c r="FJ12" s="47">
        <f>SUMIFS('Daily Plan'!$H:$H,'Daily Plan'!$C:$C,$A12,'Daily Plan'!$A:$A,FJ$1)</f>
        <v/>
      </c>
      <c r="FK12" s="47">
        <f>SUMIFS('Daily Plan'!$H:$H,'Daily Plan'!$C:$C,$A12,'Daily Plan'!$A:$A,FK$1)</f>
        <v/>
      </c>
      <c r="FL12" s="47">
        <f>SUMIFS('Daily Plan'!$H:$H,'Daily Plan'!$C:$C,$A12,'Daily Plan'!$A:$A,FL$1)</f>
        <v/>
      </c>
      <c r="FM12" s="47">
        <f>SUMIFS('Daily Plan'!$H:$H,'Daily Plan'!$C:$C,$A12,'Daily Plan'!$A:$A,FM$1)</f>
        <v/>
      </c>
      <c r="FN12" s="48">
        <f>SUMIFS('Daily Plan'!$H:$H,'Daily Plan'!$C:$C,$A12,'Daily Plan'!$A:$A,FN$1)</f>
        <v/>
      </c>
      <c r="FO12" s="48">
        <f>SUMIFS('Daily Plan'!$H:$H,'Daily Plan'!$C:$C,$A12,'Daily Plan'!$A:$A,FO$1)</f>
        <v/>
      </c>
      <c r="FP12" s="47">
        <f>SUMIFS('Daily Plan'!$H:$H,'Daily Plan'!$C:$C,$A12,'Daily Plan'!$A:$A,FP$1)</f>
        <v/>
      </c>
      <c r="FQ12" s="47">
        <f>SUMIFS('Daily Plan'!$H:$H,'Daily Plan'!$C:$C,$A12,'Daily Plan'!$A:$A,FQ$1)</f>
        <v/>
      </c>
      <c r="FR12" s="47">
        <f>SUMIFS('Daily Plan'!$H:$H,'Daily Plan'!$C:$C,$A12,'Daily Plan'!$A:$A,FR$1)</f>
        <v/>
      </c>
      <c r="FS12" s="47">
        <f>SUMIFS('Daily Plan'!$H:$H,'Daily Plan'!$C:$C,$A12,'Daily Plan'!$A:$A,FS$1)</f>
        <v/>
      </c>
    </row>
    <row r="13">
      <c r="A13" s="23" t="inlineStr">
        <is>
          <t>DOC-4</t>
        </is>
      </c>
      <c r="B13" s="23" t="inlineStr">
        <is>
          <t>文档</t>
        </is>
      </c>
      <c r="C13" s="2" t="inlineStr">
        <is>
          <t>PG 数据分布</t>
        </is>
      </c>
      <c r="D13" s="43" t="n">
        <v>46279</v>
      </c>
      <c r="E13" s="43" t="n">
        <v>46290</v>
      </c>
      <c r="F13" s="23" t="inlineStr">
        <is>
          <t>pending</t>
        </is>
      </c>
      <c r="G13" s="44">
        <f>SUMIF('Daily Plan'!$C:$C,A13,'Daily Plan'!$H:$H)</f>
        <v/>
      </c>
      <c r="H13" s="44">
        <f>SUMIF('Daily Plan'!$C:$C,A13,'Daily Plan'!$I:$I)</f>
        <v/>
      </c>
      <c r="I13" s="44">
        <f>MAX(G13-H13,0)</f>
        <v/>
      </c>
      <c r="J13" s="25">
        <f>IF(G13=0,IF(F13="done",1,0),H13/G13)</f>
        <v/>
      </c>
      <c r="K13" s="2" t="inlineStr">
        <is>
          <t>P0</t>
        </is>
      </c>
      <c r="L13" s="2" t="inlineStr">
        <is>
          <t>PG 数据分布报告</t>
        </is>
      </c>
      <c r="M13" s="47">
        <f>SUMIFS('Daily Plan'!$H:$H,'Daily Plan'!$C:$C,$A13,'Daily Plan'!$A:$A,M$1)</f>
        <v/>
      </c>
      <c r="N13" s="47">
        <f>SUMIFS('Daily Plan'!$H:$H,'Daily Plan'!$C:$C,$A13,'Daily Plan'!$A:$A,N$1)</f>
        <v/>
      </c>
      <c r="O13" s="47">
        <f>SUMIFS('Daily Plan'!$H:$H,'Daily Plan'!$C:$C,$A13,'Daily Plan'!$A:$A,O$1)</f>
        <v/>
      </c>
      <c r="P13" s="48">
        <f>SUMIFS('Daily Plan'!$H:$H,'Daily Plan'!$C:$C,$A13,'Daily Plan'!$A:$A,P$1)</f>
        <v/>
      </c>
      <c r="Q13" s="48">
        <f>SUMIFS('Daily Plan'!$H:$H,'Daily Plan'!$C:$C,$A13,'Daily Plan'!$A:$A,Q$1)</f>
        <v/>
      </c>
      <c r="R13" s="47">
        <f>SUMIFS('Daily Plan'!$H:$H,'Daily Plan'!$C:$C,$A13,'Daily Plan'!$A:$A,R$1)</f>
        <v/>
      </c>
      <c r="S13" s="47">
        <f>SUMIFS('Daily Plan'!$H:$H,'Daily Plan'!$C:$C,$A13,'Daily Plan'!$A:$A,S$1)</f>
        <v/>
      </c>
      <c r="T13" s="47">
        <f>SUMIFS('Daily Plan'!$H:$H,'Daily Plan'!$C:$C,$A13,'Daily Plan'!$A:$A,T$1)</f>
        <v/>
      </c>
      <c r="U13" s="47">
        <f>SUMIFS('Daily Plan'!$H:$H,'Daily Plan'!$C:$C,$A13,'Daily Plan'!$A:$A,U$1)</f>
        <v/>
      </c>
      <c r="V13" s="47">
        <f>SUMIFS('Daily Plan'!$H:$H,'Daily Plan'!$C:$C,$A13,'Daily Plan'!$A:$A,V$1)</f>
        <v/>
      </c>
      <c r="W13" s="48">
        <f>SUMIFS('Daily Plan'!$H:$H,'Daily Plan'!$C:$C,$A13,'Daily Plan'!$A:$A,W$1)</f>
        <v/>
      </c>
      <c r="X13" s="48">
        <f>SUMIFS('Daily Plan'!$H:$H,'Daily Plan'!$C:$C,$A13,'Daily Plan'!$A:$A,X$1)</f>
        <v/>
      </c>
      <c r="Y13" s="47">
        <f>SUMIFS('Daily Plan'!$H:$H,'Daily Plan'!$C:$C,$A13,'Daily Plan'!$A:$A,Y$1)</f>
        <v/>
      </c>
      <c r="Z13" s="47">
        <f>SUMIFS('Daily Plan'!$H:$H,'Daily Plan'!$C:$C,$A13,'Daily Plan'!$A:$A,Z$1)</f>
        <v/>
      </c>
      <c r="AA13" s="47">
        <f>SUMIFS('Daily Plan'!$H:$H,'Daily Plan'!$C:$C,$A13,'Daily Plan'!$A:$A,AA$1)</f>
        <v/>
      </c>
      <c r="AB13" s="47">
        <f>SUMIFS('Daily Plan'!$H:$H,'Daily Plan'!$C:$C,$A13,'Daily Plan'!$A:$A,AB$1)</f>
        <v/>
      </c>
      <c r="AC13" s="47">
        <f>SUMIFS('Daily Plan'!$H:$H,'Daily Plan'!$C:$C,$A13,'Daily Plan'!$A:$A,AC$1)</f>
        <v/>
      </c>
      <c r="AD13" s="48">
        <f>SUMIFS('Daily Plan'!$H:$H,'Daily Plan'!$C:$C,$A13,'Daily Plan'!$A:$A,AD$1)</f>
        <v/>
      </c>
      <c r="AE13" s="48">
        <f>SUMIFS('Daily Plan'!$H:$H,'Daily Plan'!$C:$C,$A13,'Daily Plan'!$A:$A,AE$1)</f>
        <v/>
      </c>
      <c r="AF13" s="47">
        <f>SUMIFS('Daily Plan'!$H:$H,'Daily Plan'!$C:$C,$A13,'Daily Plan'!$A:$A,AF$1)</f>
        <v/>
      </c>
      <c r="AG13" s="47">
        <f>SUMIFS('Daily Plan'!$H:$H,'Daily Plan'!$C:$C,$A13,'Daily Plan'!$A:$A,AG$1)</f>
        <v/>
      </c>
      <c r="AH13" s="47">
        <f>SUMIFS('Daily Plan'!$H:$H,'Daily Plan'!$C:$C,$A13,'Daily Plan'!$A:$A,AH$1)</f>
        <v/>
      </c>
      <c r="AI13" s="47">
        <f>SUMIFS('Daily Plan'!$H:$H,'Daily Plan'!$C:$C,$A13,'Daily Plan'!$A:$A,AI$1)</f>
        <v/>
      </c>
      <c r="AJ13" s="47">
        <f>SUMIFS('Daily Plan'!$H:$H,'Daily Plan'!$C:$C,$A13,'Daily Plan'!$A:$A,AJ$1)</f>
        <v/>
      </c>
      <c r="AK13" s="48">
        <f>SUMIFS('Daily Plan'!$H:$H,'Daily Plan'!$C:$C,$A13,'Daily Plan'!$A:$A,AK$1)</f>
        <v/>
      </c>
      <c r="AL13" s="48">
        <f>SUMIFS('Daily Plan'!$H:$H,'Daily Plan'!$C:$C,$A13,'Daily Plan'!$A:$A,AL$1)</f>
        <v/>
      </c>
      <c r="AM13" s="47">
        <f>SUMIFS('Daily Plan'!$H:$H,'Daily Plan'!$C:$C,$A13,'Daily Plan'!$A:$A,AM$1)</f>
        <v/>
      </c>
      <c r="AN13" s="47">
        <f>SUMIFS('Daily Plan'!$H:$H,'Daily Plan'!$C:$C,$A13,'Daily Plan'!$A:$A,AN$1)</f>
        <v/>
      </c>
      <c r="AO13" s="47">
        <f>SUMIFS('Daily Plan'!$H:$H,'Daily Plan'!$C:$C,$A13,'Daily Plan'!$A:$A,AO$1)</f>
        <v/>
      </c>
      <c r="AP13" s="47">
        <f>SUMIFS('Daily Plan'!$H:$H,'Daily Plan'!$C:$C,$A13,'Daily Plan'!$A:$A,AP$1)</f>
        <v/>
      </c>
      <c r="AQ13" s="47">
        <f>SUMIFS('Daily Plan'!$H:$H,'Daily Plan'!$C:$C,$A13,'Daily Plan'!$A:$A,AQ$1)</f>
        <v/>
      </c>
      <c r="AR13" s="48">
        <f>SUMIFS('Daily Plan'!$H:$H,'Daily Plan'!$C:$C,$A13,'Daily Plan'!$A:$A,AR$1)</f>
        <v/>
      </c>
      <c r="AS13" s="48">
        <f>SUMIFS('Daily Plan'!$H:$H,'Daily Plan'!$C:$C,$A13,'Daily Plan'!$A:$A,AS$1)</f>
        <v/>
      </c>
      <c r="AT13" s="47">
        <f>SUMIFS('Daily Plan'!$H:$H,'Daily Plan'!$C:$C,$A13,'Daily Plan'!$A:$A,AT$1)</f>
        <v/>
      </c>
      <c r="AU13" s="47">
        <f>SUMIFS('Daily Plan'!$H:$H,'Daily Plan'!$C:$C,$A13,'Daily Plan'!$A:$A,AU$1)</f>
        <v/>
      </c>
      <c r="AV13" s="47">
        <f>SUMIFS('Daily Plan'!$H:$H,'Daily Plan'!$C:$C,$A13,'Daily Plan'!$A:$A,AV$1)</f>
        <v/>
      </c>
      <c r="AW13" s="47">
        <f>SUMIFS('Daily Plan'!$H:$H,'Daily Plan'!$C:$C,$A13,'Daily Plan'!$A:$A,AW$1)</f>
        <v/>
      </c>
      <c r="AX13" s="47">
        <f>SUMIFS('Daily Plan'!$H:$H,'Daily Plan'!$C:$C,$A13,'Daily Plan'!$A:$A,AX$1)</f>
        <v/>
      </c>
      <c r="AY13" s="48">
        <f>SUMIFS('Daily Plan'!$H:$H,'Daily Plan'!$C:$C,$A13,'Daily Plan'!$A:$A,AY$1)</f>
        <v/>
      </c>
      <c r="AZ13" s="48">
        <f>SUMIFS('Daily Plan'!$H:$H,'Daily Plan'!$C:$C,$A13,'Daily Plan'!$A:$A,AZ$1)</f>
        <v/>
      </c>
      <c r="BA13" s="47">
        <f>SUMIFS('Daily Plan'!$H:$H,'Daily Plan'!$C:$C,$A13,'Daily Plan'!$A:$A,BA$1)</f>
        <v/>
      </c>
      <c r="BB13" s="47">
        <f>SUMIFS('Daily Plan'!$H:$H,'Daily Plan'!$C:$C,$A13,'Daily Plan'!$A:$A,BB$1)</f>
        <v/>
      </c>
      <c r="BC13" s="47">
        <f>SUMIFS('Daily Plan'!$H:$H,'Daily Plan'!$C:$C,$A13,'Daily Plan'!$A:$A,BC$1)</f>
        <v/>
      </c>
      <c r="BD13" s="47">
        <f>SUMIFS('Daily Plan'!$H:$H,'Daily Plan'!$C:$C,$A13,'Daily Plan'!$A:$A,BD$1)</f>
        <v/>
      </c>
      <c r="BE13" s="47">
        <f>SUMIFS('Daily Plan'!$H:$H,'Daily Plan'!$C:$C,$A13,'Daily Plan'!$A:$A,BE$1)</f>
        <v/>
      </c>
      <c r="BF13" s="48">
        <f>SUMIFS('Daily Plan'!$H:$H,'Daily Plan'!$C:$C,$A13,'Daily Plan'!$A:$A,BF$1)</f>
        <v/>
      </c>
      <c r="BG13" s="48">
        <f>SUMIFS('Daily Plan'!$H:$H,'Daily Plan'!$C:$C,$A13,'Daily Plan'!$A:$A,BG$1)</f>
        <v/>
      </c>
      <c r="BH13" s="47">
        <f>SUMIFS('Daily Plan'!$H:$H,'Daily Plan'!$C:$C,$A13,'Daily Plan'!$A:$A,BH$1)</f>
        <v/>
      </c>
      <c r="BI13" s="47">
        <f>SUMIFS('Daily Plan'!$H:$H,'Daily Plan'!$C:$C,$A13,'Daily Plan'!$A:$A,BI$1)</f>
        <v/>
      </c>
      <c r="BJ13" s="47">
        <f>SUMIFS('Daily Plan'!$H:$H,'Daily Plan'!$C:$C,$A13,'Daily Plan'!$A:$A,BJ$1)</f>
        <v/>
      </c>
      <c r="BK13" s="47">
        <f>SUMIFS('Daily Plan'!$H:$H,'Daily Plan'!$C:$C,$A13,'Daily Plan'!$A:$A,BK$1)</f>
        <v/>
      </c>
      <c r="BL13" s="47">
        <f>SUMIFS('Daily Plan'!$H:$H,'Daily Plan'!$C:$C,$A13,'Daily Plan'!$A:$A,BL$1)</f>
        <v/>
      </c>
      <c r="BM13" s="48">
        <f>SUMIFS('Daily Plan'!$H:$H,'Daily Plan'!$C:$C,$A13,'Daily Plan'!$A:$A,BM$1)</f>
        <v/>
      </c>
      <c r="BN13" s="48">
        <f>SUMIFS('Daily Plan'!$H:$H,'Daily Plan'!$C:$C,$A13,'Daily Plan'!$A:$A,BN$1)</f>
        <v/>
      </c>
      <c r="BO13" s="47">
        <f>SUMIFS('Daily Plan'!$H:$H,'Daily Plan'!$C:$C,$A13,'Daily Plan'!$A:$A,BO$1)</f>
        <v/>
      </c>
      <c r="BP13" s="47">
        <f>SUMIFS('Daily Plan'!$H:$H,'Daily Plan'!$C:$C,$A13,'Daily Plan'!$A:$A,BP$1)</f>
        <v/>
      </c>
      <c r="BQ13" s="47">
        <f>SUMIFS('Daily Plan'!$H:$H,'Daily Plan'!$C:$C,$A13,'Daily Plan'!$A:$A,BQ$1)</f>
        <v/>
      </c>
      <c r="BR13" s="47">
        <f>SUMIFS('Daily Plan'!$H:$H,'Daily Plan'!$C:$C,$A13,'Daily Plan'!$A:$A,BR$1)</f>
        <v/>
      </c>
      <c r="BS13" s="47">
        <f>SUMIFS('Daily Plan'!$H:$H,'Daily Plan'!$C:$C,$A13,'Daily Plan'!$A:$A,BS$1)</f>
        <v/>
      </c>
      <c r="BT13" s="48">
        <f>SUMIFS('Daily Plan'!$H:$H,'Daily Plan'!$C:$C,$A13,'Daily Plan'!$A:$A,BT$1)</f>
        <v/>
      </c>
      <c r="BU13" s="48">
        <f>SUMIFS('Daily Plan'!$H:$H,'Daily Plan'!$C:$C,$A13,'Daily Plan'!$A:$A,BU$1)</f>
        <v/>
      </c>
      <c r="BV13" s="47">
        <f>SUMIFS('Daily Plan'!$H:$H,'Daily Plan'!$C:$C,$A13,'Daily Plan'!$A:$A,BV$1)</f>
        <v/>
      </c>
      <c r="BW13" s="47">
        <f>SUMIFS('Daily Plan'!$H:$H,'Daily Plan'!$C:$C,$A13,'Daily Plan'!$A:$A,BW$1)</f>
        <v/>
      </c>
      <c r="BX13" s="47">
        <f>SUMIFS('Daily Plan'!$H:$H,'Daily Plan'!$C:$C,$A13,'Daily Plan'!$A:$A,BX$1)</f>
        <v/>
      </c>
      <c r="BY13" s="47">
        <f>SUMIFS('Daily Plan'!$H:$H,'Daily Plan'!$C:$C,$A13,'Daily Plan'!$A:$A,BY$1)</f>
        <v/>
      </c>
      <c r="BZ13" s="47">
        <f>SUMIFS('Daily Plan'!$H:$H,'Daily Plan'!$C:$C,$A13,'Daily Plan'!$A:$A,BZ$1)</f>
        <v/>
      </c>
      <c r="CA13" s="48">
        <f>SUMIFS('Daily Plan'!$H:$H,'Daily Plan'!$C:$C,$A13,'Daily Plan'!$A:$A,CA$1)</f>
        <v/>
      </c>
      <c r="CB13" s="48">
        <f>SUMIFS('Daily Plan'!$H:$H,'Daily Plan'!$C:$C,$A13,'Daily Plan'!$A:$A,CB$1)</f>
        <v/>
      </c>
      <c r="CC13" s="47">
        <f>SUMIFS('Daily Plan'!$H:$H,'Daily Plan'!$C:$C,$A13,'Daily Plan'!$A:$A,CC$1)</f>
        <v/>
      </c>
      <c r="CD13" s="47">
        <f>SUMIFS('Daily Plan'!$H:$H,'Daily Plan'!$C:$C,$A13,'Daily Plan'!$A:$A,CD$1)</f>
        <v/>
      </c>
      <c r="CE13" s="47">
        <f>SUMIFS('Daily Plan'!$H:$H,'Daily Plan'!$C:$C,$A13,'Daily Plan'!$A:$A,CE$1)</f>
        <v/>
      </c>
      <c r="CF13" s="47">
        <f>SUMIFS('Daily Plan'!$H:$H,'Daily Plan'!$C:$C,$A13,'Daily Plan'!$A:$A,CF$1)</f>
        <v/>
      </c>
      <c r="CG13" s="47">
        <f>SUMIFS('Daily Plan'!$H:$H,'Daily Plan'!$C:$C,$A13,'Daily Plan'!$A:$A,CG$1)</f>
        <v/>
      </c>
      <c r="CH13" s="48">
        <f>SUMIFS('Daily Plan'!$H:$H,'Daily Plan'!$C:$C,$A13,'Daily Plan'!$A:$A,CH$1)</f>
        <v/>
      </c>
      <c r="CI13" s="48">
        <f>SUMIFS('Daily Plan'!$H:$H,'Daily Plan'!$C:$C,$A13,'Daily Plan'!$A:$A,CI$1)</f>
        <v/>
      </c>
      <c r="CJ13" s="47">
        <f>SUMIFS('Daily Plan'!$H:$H,'Daily Plan'!$C:$C,$A13,'Daily Plan'!$A:$A,CJ$1)</f>
        <v/>
      </c>
      <c r="CK13" s="47">
        <f>SUMIFS('Daily Plan'!$H:$H,'Daily Plan'!$C:$C,$A13,'Daily Plan'!$A:$A,CK$1)</f>
        <v/>
      </c>
      <c r="CL13" s="47">
        <f>SUMIFS('Daily Plan'!$H:$H,'Daily Plan'!$C:$C,$A13,'Daily Plan'!$A:$A,CL$1)</f>
        <v/>
      </c>
      <c r="CM13" s="47">
        <f>SUMIFS('Daily Plan'!$H:$H,'Daily Plan'!$C:$C,$A13,'Daily Plan'!$A:$A,CM$1)</f>
        <v/>
      </c>
      <c r="CN13" s="47">
        <f>SUMIFS('Daily Plan'!$H:$H,'Daily Plan'!$C:$C,$A13,'Daily Plan'!$A:$A,CN$1)</f>
        <v/>
      </c>
      <c r="CO13" s="48">
        <f>SUMIFS('Daily Plan'!$H:$H,'Daily Plan'!$C:$C,$A13,'Daily Plan'!$A:$A,CO$1)</f>
        <v/>
      </c>
      <c r="CP13" s="48">
        <f>SUMIFS('Daily Plan'!$H:$H,'Daily Plan'!$C:$C,$A13,'Daily Plan'!$A:$A,CP$1)</f>
        <v/>
      </c>
      <c r="CQ13" s="47">
        <f>SUMIFS('Daily Plan'!$H:$H,'Daily Plan'!$C:$C,$A13,'Daily Plan'!$A:$A,CQ$1)</f>
        <v/>
      </c>
      <c r="CR13" s="47">
        <f>SUMIFS('Daily Plan'!$H:$H,'Daily Plan'!$C:$C,$A13,'Daily Plan'!$A:$A,CR$1)</f>
        <v/>
      </c>
      <c r="CS13" s="47">
        <f>SUMIFS('Daily Plan'!$H:$H,'Daily Plan'!$C:$C,$A13,'Daily Plan'!$A:$A,CS$1)</f>
        <v/>
      </c>
      <c r="CT13" s="47">
        <f>SUMIFS('Daily Plan'!$H:$H,'Daily Plan'!$C:$C,$A13,'Daily Plan'!$A:$A,CT$1)</f>
        <v/>
      </c>
      <c r="CU13" s="47">
        <f>SUMIFS('Daily Plan'!$H:$H,'Daily Plan'!$C:$C,$A13,'Daily Plan'!$A:$A,CU$1)</f>
        <v/>
      </c>
      <c r="CV13" s="48">
        <f>SUMIFS('Daily Plan'!$H:$H,'Daily Plan'!$C:$C,$A13,'Daily Plan'!$A:$A,CV$1)</f>
        <v/>
      </c>
      <c r="CW13" s="48">
        <f>SUMIFS('Daily Plan'!$H:$H,'Daily Plan'!$C:$C,$A13,'Daily Plan'!$A:$A,CW$1)</f>
        <v/>
      </c>
      <c r="CX13" s="47">
        <f>SUMIFS('Daily Plan'!$H:$H,'Daily Plan'!$C:$C,$A13,'Daily Plan'!$A:$A,CX$1)</f>
        <v/>
      </c>
      <c r="CY13" s="47">
        <f>SUMIFS('Daily Plan'!$H:$H,'Daily Plan'!$C:$C,$A13,'Daily Plan'!$A:$A,CY$1)</f>
        <v/>
      </c>
      <c r="CZ13" s="47">
        <f>SUMIFS('Daily Plan'!$H:$H,'Daily Plan'!$C:$C,$A13,'Daily Plan'!$A:$A,CZ$1)</f>
        <v/>
      </c>
      <c r="DA13" s="47">
        <f>SUMIFS('Daily Plan'!$H:$H,'Daily Plan'!$C:$C,$A13,'Daily Plan'!$A:$A,DA$1)</f>
        <v/>
      </c>
      <c r="DB13" s="47">
        <f>SUMIFS('Daily Plan'!$H:$H,'Daily Plan'!$C:$C,$A13,'Daily Plan'!$A:$A,DB$1)</f>
        <v/>
      </c>
      <c r="DC13" s="48">
        <f>SUMIFS('Daily Plan'!$H:$H,'Daily Plan'!$C:$C,$A13,'Daily Plan'!$A:$A,DC$1)</f>
        <v/>
      </c>
      <c r="DD13" s="48">
        <f>SUMIFS('Daily Plan'!$H:$H,'Daily Plan'!$C:$C,$A13,'Daily Plan'!$A:$A,DD$1)</f>
        <v/>
      </c>
      <c r="DE13" s="47">
        <f>SUMIFS('Daily Plan'!$H:$H,'Daily Plan'!$C:$C,$A13,'Daily Plan'!$A:$A,DE$1)</f>
        <v/>
      </c>
      <c r="DF13" s="47">
        <f>SUMIFS('Daily Plan'!$H:$H,'Daily Plan'!$C:$C,$A13,'Daily Plan'!$A:$A,DF$1)</f>
        <v/>
      </c>
      <c r="DG13" s="47">
        <f>SUMIFS('Daily Plan'!$H:$H,'Daily Plan'!$C:$C,$A13,'Daily Plan'!$A:$A,DG$1)</f>
        <v/>
      </c>
      <c r="DH13" s="47">
        <f>SUMIFS('Daily Plan'!$H:$H,'Daily Plan'!$C:$C,$A13,'Daily Plan'!$A:$A,DH$1)</f>
        <v/>
      </c>
      <c r="DI13" s="47">
        <f>SUMIFS('Daily Plan'!$H:$H,'Daily Plan'!$C:$C,$A13,'Daily Plan'!$A:$A,DI$1)</f>
        <v/>
      </c>
      <c r="DJ13" s="48">
        <f>SUMIFS('Daily Plan'!$H:$H,'Daily Plan'!$C:$C,$A13,'Daily Plan'!$A:$A,DJ$1)</f>
        <v/>
      </c>
      <c r="DK13" s="48">
        <f>SUMIFS('Daily Plan'!$H:$H,'Daily Plan'!$C:$C,$A13,'Daily Plan'!$A:$A,DK$1)</f>
        <v/>
      </c>
      <c r="DL13" s="47">
        <f>SUMIFS('Daily Plan'!$H:$H,'Daily Plan'!$C:$C,$A13,'Daily Plan'!$A:$A,DL$1)</f>
        <v/>
      </c>
      <c r="DM13" s="47">
        <f>SUMIFS('Daily Plan'!$H:$H,'Daily Plan'!$C:$C,$A13,'Daily Plan'!$A:$A,DM$1)</f>
        <v/>
      </c>
      <c r="DN13" s="47">
        <f>SUMIFS('Daily Plan'!$H:$H,'Daily Plan'!$C:$C,$A13,'Daily Plan'!$A:$A,DN$1)</f>
        <v/>
      </c>
      <c r="DO13" s="47">
        <f>SUMIFS('Daily Plan'!$H:$H,'Daily Plan'!$C:$C,$A13,'Daily Plan'!$A:$A,DO$1)</f>
        <v/>
      </c>
      <c r="DP13" s="47">
        <f>SUMIFS('Daily Plan'!$H:$H,'Daily Plan'!$C:$C,$A13,'Daily Plan'!$A:$A,DP$1)</f>
        <v/>
      </c>
      <c r="DQ13" s="48">
        <f>SUMIFS('Daily Plan'!$H:$H,'Daily Plan'!$C:$C,$A13,'Daily Plan'!$A:$A,DQ$1)</f>
        <v/>
      </c>
      <c r="DR13" s="48">
        <f>SUMIFS('Daily Plan'!$H:$H,'Daily Plan'!$C:$C,$A13,'Daily Plan'!$A:$A,DR$1)</f>
        <v/>
      </c>
      <c r="DS13" s="47">
        <f>SUMIFS('Daily Plan'!$H:$H,'Daily Plan'!$C:$C,$A13,'Daily Plan'!$A:$A,DS$1)</f>
        <v/>
      </c>
      <c r="DT13" s="47">
        <f>SUMIFS('Daily Plan'!$H:$H,'Daily Plan'!$C:$C,$A13,'Daily Plan'!$A:$A,DT$1)</f>
        <v/>
      </c>
      <c r="DU13" s="47">
        <f>SUMIFS('Daily Plan'!$H:$H,'Daily Plan'!$C:$C,$A13,'Daily Plan'!$A:$A,DU$1)</f>
        <v/>
      </c>
      <c r="DV13" s="47">
        <f>SUMIFS('Daily Plan'!$H:$H,'Daily Plan'!$C:$C,$A13,'Daily Plan'!$A:$A,DV$1)</f>
        <v/>
      </c>
      <c r="DW13" s="47">
        <f>SUMIFS('Daily Plan'!$H:$H,'Daily Plan'!$C:$C,$A13,'Daily Plan'!$A:$A,DW$1)</f>
        <v/>
      </c>
      <c r="DX13" s="48">
        <f>SUMIFS('Daily Plan'!$H:$H,'Daily Plan'!$C:$C,$A13,'Daily Plan'!$A:$A,DX$1)</f>
        <v/>
      </c>
      <c r="DY13" s="48">
        <f>SUMIFS('Daily Plan'!$H:$H,'Daily Plan'!$C:$C,$A13,'Daily Plan'!$A:$A,DY$1)</f>
        <v/>
      </c>
      <c r="DZ13" s="47">
        <f>SUMIFS('Daily Plan'!$H:$H,'Daily Plan'!$C:$C,$A13,'Daily Plan'!$A:$A,DZ$1)</f>
        <v/>
      </c>
      <c r="EA13" s="47">
        <f>SUMIFS('Daily Plan'!$H:$H,'Daily Plan'!$C:$C,$A13,'Daily Plan'!$A:$A,EA$1)</f>
        <v/>
      </c>
      <c r="EB13" s="47">
        <f>SUMIFS('Daily Plan'!$H:$H,'Daily Plan'!$C:$C,$A13,'Daily Plan'!$A:$A,EB$1)</f>
        <v/>
      </c>
      <c r="EC13" s="47">
        <f>SUMIFS('Daily Plan'!$H:$H,'Daily Plan'!$C:$C,$A13,'Daily Plan'!$A:$A,EC$1)</f>
        <v/>
      </c>
      <c r="ED13" s="47">
        <f>SUMIFS('Daily Plan'!$H:$H,'Daily Plan'!$C:$C,$A13,'Daily Plan'!$A:$A,ED$1)</f>
        <v/>
      </c>
      <c r="EE13" s="48">
        <f>SUMIFS('Daily Plan'!$H:$H,'Daily Plan'!$C:$C,$A13,'Daily Plan'!$A:$A,EE$1)</f>
        <v/>
      </c>
      <c r="EF13" s="48">
        <f>SUMIFS('Daily Plan'!$H:$H,'Daily Plan'!$C:$C,$A13,'Daily Plan'!$A:$A,EF$1)</f>
        <v/>
      </c>
      <c r="EG13" s="47">
        <f>SUMIFS('Daily Plan'!$H:$H,'Daily Plan'!$C:$C,$A13,'Daily Plan'!$A:$A,EG$1)</f>
        <v/>
      </c>
      <c r="EH13" s="47">
        <f>SUMIFS('Daily Plan'!$H:$H,'Daily Plan'!$C:$C,$A13,'Daily Plan'!$A:$A,EH$1)</f>
        <v/>
      </c>
      <c r="EI13" s="47">
        <f>SUMIFS('Daily Plan'!$H:$H,'Daily Plan'!$C:$C,$A13,'Daily Plan'!$A:$A,EI$1)</f>
        <v/>
      </c>
      <c r="EJ13" s="47">
        <f>SUMIFS('Daily Plan'!$H:$H,'Daily Plan'!$C:$C,$A13,'Daily Plan'!$A:$A,EJ$1)</f>
        <v/>
      </c>
      <c r="EK13" s="47">
        <f>SUMIFS('Daily Plan'!$H:$H,'Daily Plan'!$C:$C,$A13,'Daily Plan'!$A:$A,EK$1)</f>
        <v/>
      </c>
      <c r="EL13" s="48">
        <f>SUMIFS('Daily Plan'!$H:$H,'Daily Plan'!$C:$C,$A13,'Daily Plan'!$A:$A,EL$1)</f>
        <v/>
      </c>
      <c r="EM13" s="48">
        <f>SUMIFS('Daily Plan'!$H:$H,'Daily Plan'!$C:$C,$A13,'Daily Plan'!$A:$A,EM$1)</f>
        <v/>
      </c>
      <c r="EN13" s="47">
        <f>SUMIFS('Daily Plan'!$H:$H,'Daily Plan'!$C:$C,$A13,'Daily Plan'!$A:$A,EN$1)</f>
        <v/>
      </c>
      <c r="EO13" s="47">
        <f>SUMIFS('Daily Plan'!$H:$H,'Daily Plan'!$C:$C,$A13,'Daily Plan'!$A:$A,EO$1)</f>
        <v/>
      </c>
      <c r="EP13" s="47">
        <f>SUMIFS('Daily Plan'!$H:$H,'Daily Plan'!$C:$C,$A13,'Daily Plan'!$A:$A,EP$1)</f>
        <v/>
      </c>
      <c r="EQ13" s="47">
        <f>SUMIFS('Daily Plan'!$H:$H,'Daily Plan'!$C:$C,$A13,'Daily Plan'!$A:$A,EQ$1)</f>
        <v/>
      </c>
      <c r="ER13" s="47">
        <f>SUMIFS('Daily Plan'!$H:$H,'Daily Plan'!$C:$C,$A13,'Daily Plan'!$A:$A,ER$1)</f>
        <v/>
      </c>
      <c r="ES13" s="48">
        <f>SUMIFS('Daily Plan'!$H:$H,'Daily Plan'!$C:$C,$A13,'Daily Plan'!$A:$A,ES$1)</f>
        <v/>
      </c>
      <c r="ET13" s="48">
        <f>SUMIFS('Daily Plan'!$H:$H,'Daily Plan'!$C:$C,$A13,'Daily Plan'!$A:$A,ET$1)</f>
        <v/>
      </c>
      <c r="EU13" s="47">
        <f>SUMIFS('Daily Plan'!$H:$H,'Daily Plan'!$C:$C,$A13,'Daily Plan'!$A:$A,EU$1)</f>
        <v/>
      </c>
      <c r="EV13" s="47">
        <f>SUMIFS('Daily Plan'!$H:$H,'Daily Plan'!$C:$C,$A13,'Daily Plan'!$A:$A,EV$1)</f>
        <v/>
      </c>
      <c r="EW13" s="47">
        <f>SUMIFS('Daily Plan'!$H:$H,'Daily Plan'!$C:$C,$A13,'Daily Plan'!$A:$A,EW$1)</f>
        <v/>
      </c>
      <c r="EX13" s="47">
        <f>SUMIFS('Daily Plan'!$H:$H,'Daily Plan'!$C:$C,$A13,'Daily Plan'!$A:$A,EX$1)</f>
        <v/>
      </c>
      <c r="EY13" s="47">
        <f>SUMIFS('Daily Plan'!$H:$H,'Daily Plan'!$C:$C,$A13,'Daily Plan'!$A:$A,EY$1)</f>
        <v/>
      </c>
      <c r="EZ13" s="48">
        <f>SUMIFS('Daily Plan'!$H:$H,'Daily Plan'!$C:$C,$A13,'Daily Plan'!$A:$A,EZ$1)</f>
        <v/>
      </c>
      <c r="FA13" s="48">
        <f>SUMIFS('Daily Plan'!$H:$H,'Daily Plan'!$C:$C,$A13,'Daily Plan'!$A:$A,FA$1)</f>
        <v/>
      </c>
      <c r="FB13" s="47">
        <f>SUMIFS('Daily Plan'!$H:$H,'Daily Plan'!$C:$C,$A13,'Daily Plan'!$A:$A,FB$1)</f>
        <v/>
      </c>
      <c r="FC13" s="47">
        <f>SUMIFS('Daily Plan'!$H:$H,'Daily Plan'!$C:$C,$A13,'Daily Plan'!$A:$A,FC$1)</f>
        <v/>
      </c>
      <c r="FD13" s="47">
        <f>SUMIFS('Daily Plan'!$H:$H,'Daily Plan'!$C:$C,$A13,'Daily Plan'!$A:$A,FD$1)</f>
        <v/>
      </c>
      <c r="FE13" s="47">
        <f>SUMIFS('Daily Plan'!$H:$H,'Daily Plan'!$C:$C,$A13,'Daily Plan'!$A:$A,FE$1)</f>
        <v/>
      </c>
      <c r="FF13" s="47">
        <f>SUMIFS('Daily Plan'!$H:$H,'Daily Plan'!$C:$C,$A13,'Daily Plan'!$A:$A,FF$1)</f>
        <v/>
      </c>
      <c r="FG13" s="48">
        <f>SUMIFS('Daily Plan'!$H:$H,'Daily Plan'!$C:$C,$A13,'Daily Plan'!$A:$A,FG$1)</f>
        <v/>
      </c>
      <c r="FH13" s="48">
        <f>SUMIFS('Daily Plan'!$H:$H,'Daily Plan'!$C:$C,$A13,'Daily Plan'!$A:$A,FH$1)</f>
        <v/>
      </c>
      <c r="FI13" s="47">
        <f>SUMIFS('Daily Plan'!$H:$H,'Daily Plan'!$C:$C,$A13,'Daily Plan'!$A:$A,FI$1)</f>
        <v/>
      </c>
      <c r="FJ13" s="47">
        <f>SUMIFS('Daily Plan'!$H:$H,'Daily Plan'!$C:$C,$A13,'Daily Plan'!$A:$A,FJ$1)</f>
        <v/>
      </c>
      <c r="FK13" s="47">
        <f>SUMIFS('Daily Plan'!$H:$H,'Daily Plan'!$C:$C,$A13,'Daily Plan'!$A:$A,FK$1)</f>
        <v/>
      </c>
      <c r="FL13" s="47">
        <f>SUMIFS('Daily Plan'!$H:$H,'Daily Plan'!$C:$C,$A13,'Daily Plan'!$A:$A,FL$1)</f>
        <v/>
      </c>
      <c r="FM13" s="47">
        <f>SUMIFS('Daily Plan'!$H:$H,'Daily Plan'!$C:$C,$A13,'Daily Plan'!$A:$A,FM$1)</f>
        <v/>
      </c>
      <c r="FN13" s="48">
        <f>SUMIFS('Daily Plan'!$H:$H,'Daily Plan'!$C:$C,$A13,'Daily Plan'!$A:$A,FN$1)</f>
        <v/>
      </c>
      <c r="FO13" s="48">
        <f>SUMIFS('Daily Plan'!$H:$H,'Daily Plan'!$C:$C,$A13,'Daily Plan'!$A:$A,FO$1)</f>
        <v/>
      </c>
      <c r="FP13" s="47">
        <f>SUMIFS('Daily Plan'!$H:$H,'Daily Plan'!$C:$C,$A13,'Daily Plan'!$A:$A,FP$1)</f>
        <v/>
      </c>
      <c r="FQ13" s="47">
        <f>SUMIFS('Daily Plan'!$H:$H,'Daily Plan'!$C:$C,$A13,'Daily Plan'!$A:$A,FQ$1)</f>
        <v/>
      </c>
      <c r="FR13" s="47">
        <f>SUMIFS('Daily Plan'!$H:$H,'Daily Plan'!$C:$C,$A13,'Daily Plan'!$A:$A,FR$1)</f>
        <v/>
      </c>
      <c r="FS13" s="47">
        <f>SUMIFS('Daily Plan'!$H:$H,'Daily Plan'!$C:$C,$A13,'Daily Plan'!$A:$A,FS$1)</f>
        <v/>
      </c>
    </row>
    <row r="14" ht="28.8" customHeight="1" s="38">
      <c r="A14" s="23" t="inlineStr">
        <is>
          <t>DOC-1</t>
        </is>
      </c>
      <c r="B14" s="23" t="inlineStr">
        <is>
          <t>文档</t>
        </is>
      </c>
      <c r="C14" s="2" t="inlineStr">
        <is>
          <t>scope/problem/success criteria</t>
        </is>
      </c>
      <c r="D14" s="43" t="n">
        <v>46293</v>
      </c>
      <c r="E14" s="43" t="n">
        <v>46304</v>
      </c>
      <c r="F14" s="23" t="inlineStr">
        <is>
          <t>pending</t>
        </is>
      </c>
      <c r="G14" s="44">
        <f>SUMIF('Daily Plan'!$C:$C,A14,'Daily Plan'!$H:$H)</f>
        <v/>
      </c>
      <c r="H14" s="44">
        <f>SUMIF('Daily Plan'!$C:$C,A14,'Daily Plan'!$I:$I)</f>
        <v/>
      </c>
      <c r="I14" s="44">
        <f>MAX(G14-H14,0)</f>
        <v/>
      </c>
      <c r="J14" s="25">
        <f>IF(G14=0,IF(F14="done",1,0),H14/G14)</f>
        <v/>
      </c>
      <c r="K14" s="2" t="inlineStr">
        <is>
          <t>所有阶段</t>
        </is>
      </c>
      <c r="L14" s="2" t="inlineStr">
        <is>
          <t>最终范围与成功标准</t>
        </is>
      </c>
      <c r="M14" s="47">
        <f>SUMIFS('Daily Plan'!$H:$H,'Daily Plan'!$C:$C,$A14,'Daily Plan'!$A:$A,M$1)</f>
        <v/>
      </c>
      <c r="N14" s="47">
        <f>SUMIFS('Daily Plan'!$H:$H,'Daily Plan'!$C:$C,$A14,'Daily Plan'!$A:$A,N$1)</f>
        <v/>
      </c>
      <c r="O14" s="47">
        <f>SUMIFS('Daily Plan'!$H:$H,'Daily Plan'!$C:$C,$A14,'Daily Plan'!$A:$A,O$1)</f>
        <v/>
      </c>
      <c r="P14" s="48">
        <f>SUMIFS('Daily Plan'!$H:$H,'Daily Plan'!$C:$C,$A14,'Daily Plan'!$A:$A,P$1)</f>
        <v/>
      </c>
      <c r="Q14" s="48">
        <f>SUMIFS('Daily Plan'!$H:$H,'Daily Plan'!$C:$C,$A14,'Daily Plan'!$A:$A,Q$1)</f>
        <v/>
      </c>
      <c r="R14" s="47">
        <f>SUMIFS('Daily Plan'!$H:$H,'Daily Plan'!$C:$C,$A14,'Daily Plan'!$A:$A,R$1)</f>
        <v/>
      </c>
      <c r="S14" s="47">
        <f>SUMIFS('Daily Plan'!$H:$H,'Daily Plan'!$C:$C,$A14,'Daily Plan'!$A:$A,S$1)</f>
        <v/>
      </c>
      <c r="T14" s="47">
        <f>SUMIFS('Daily Plan'!$H:$H,'Daily Plan'!$C:$C,$A14,'Daily Plan'!$A:$A,T$1)</f>
        <v/>
      </c>
      <c r="U14" s="47">
        <f>SUMIFS('Daily Plan'!$H:$H,'Daily Plan'!$C:$C,$A14,'Daily Plan'!$A:$A,U$1)</f>
        <v/>
      </c>
      <c r="V14" s="47">
        <f>SUMIFS('Daily Plan'!$H:$H,'Daily Plan'!$C:$C,$A14,'Daily Plan'!$A:$A,V$1)</f>
        <v/>
      </c>
      <c r="W14" s="48">
        <f>SUMIFS('Daily Plan'!$H:$H,'Daily Plan'!$C:$C,$A14,'Daily Plan'!$A:$A,W$1)</f>
        <v/>
      </c>
      <c r="X14" s="48">
        <f>SUMIFS('Daily Plan'!$H:$H,'Daily Plan'!$C:$C,$A14,'Daily Plan'!$A:$A,X$1)</f>
        <v/>
      </c>
      <c r="Y14" s="47">
        <f>SUMIFS('Daily Plan'!$H:$H,'Daily Plan'!$C:$C,$A14,'Daily Plan'!$A:$A,Y$1)</f>
        <v/>
      </c>
      <c r="Z14" s="47">
        <f>SUMIFS('Daily Plan'!$H:$H,'Daily Plan'!$C:$C,$A14,'Daily Plan'!$A:$A,Z$1)</f>
        <v/>
      </c>
      <c r="AA14" s="47">
        <f>SUMIFS('Daily Plan'!$H:$H,'Daily Plan'!$C:$C,$A14,'Daily Plan'!$A:$A,AA$1)</f>
        <v/>
      </c>
      <c r="AB14" s="47">
        <f>SUMIFS('Daily Plan'!$H:$H,'Daily Plan'!$C:$C,$A14,'Daily Plan'!$A:$A,AB$1)</f>
        <v/>
      </c>
      <c r="AC14" s="47">
        <f>SUMIFS('Daily Plan'!$H:$H,'Daily Plan'!$C:$C,$A14,'Daily Plan'!$A:$A,AC$1)</f>
        <v/>
      </c>
      <c r="AD14" s="48">
        <f>SUMIFS('Daily Plan'!$H:$H,'Daily Plan'!$C:$C,$A14,'Daily Plan'!$A:$A,AD$1)</f>
        <v/>
      </c>
      <c r="AE14" s="48">
        <f>SUMIFS('Daily Plan'!$H:$H,'Daily Plan'!$C:$C,$A14,'Daily Plan'!$A:$A,AE$1)</f>
        <v/>
      </c>
      <c r="AF14" s="47">
        <f>SUMIFS('Daily Plan'!$H:$H,'Daily Plan'!$C:$C,$A14,'Daily Plan'!$A:$A,AF$1)</f>
        <v/>
      </c>
      <c r="AG14" s="47">
        <f>SUMIFS('Daily Plan'!$H:$H,'Daily Plan'!$C:$C,$A14,'Daily Plan'!$A:$A,AG$1)</f>
        <v/>
      </c>
      <c r="AH14" s="47">
        <f>SUMIFS('Daily Plan'!$H:$H,'Daily Plan'!$C:$C,$A14,'Daily Plan'!$A:$A,AH$1)</f>
        <v/>
      </c>
      <c r="AI14" s="47">
        <f>SUMIFS('Daily Plan'!$H:$H,'Daily Plan'!$C:$C,$A14,'Daily Plan'!$A:$A,AI$1)</f>
        <v/>
      </c>
      <c r="AJ14" s="47">
        <f>SUMIFS('Daily Plan'!$H:$H,'Daily Plan'!$C:$C,$A14,'Daily Plan'!$A:$A,AJ$1)</f>
        <v/>
      </c>
      <c r="AK14" s="48">
        <f>SUMIFS('Daily Plan'!$H:$H,'Daily Plan'!$C:$C,$A14,'Daily Plan'!$A:$A,AK$1)</f>
        <v/>
      </c>
      <c r="AL14" s="48">
        <f>SUMIFS('Daily Plan'!$H:$H,'Daily Plan'!$C:$C,$A14,'Daily Plan'!$A:$A,AL$1)</f>
        <v/>
      </c>
      <c r="AM14" s="47">
        <f>SUMIFS('Daily Plan'!$H:$H,'Daily Plan'!$C:$C,$A14,'Daily Plan'!$A:$A,AM$1)</f>
        <v/>
      </c>
      <c r="AN14" s="47">
        <f>SUMIFS('Daily Plan'!$H:$H,'Daily Plan'!$C:$C,$A14,'Daily Plan'!$A:$A,AN$1)</f>
        <v/>
      </c>
      <c r="AO14" s="47">
        <f>SUMIFS('Daily Plan'!$H:$H,'Daily Plan'!$C:$C,$A14,'Daily Plan'!$A:$A,AO$1)</f>
        <v/>
      </c>
      <c r="AP14" s="47">
        <f>SUMIFS('Daily Plan'!$H:$H,'Daily Plan'!$C:$C,$A14,'Daily Plan'!$A:$A,AP$1)</f>
        <v/>
      </c>
      <c r="AQ14" s="47">
        <f>SUMIFS('Daily Plan'!$H:$H,'Daily Plan'!$C:$C,$A14,'Daily Plan'!$A:$A,AQ$1)</f>
        <v/>
      </c>
      <c r="AR14" s="48">
        <f>SUMIFS('Daily Plan'!$H:$H,'Daily Plan'!$C:$C,$A14,'Daily Plan'!$A:$A,AR$1)</f>
        <v/>
      </c>
      <c r="AS14" s="48">
        <f>SUMIFS('Daily Plan'!$H:$H,'Daily Plan'!$C:$C,$A14,'Daily Plan'!$A:$A,AS$1)</f>
        <v/>
      </c>
      <c r="AT14" s="47">
        <f>SUMIFS('Daily Plan'!$H:$H,'Daily Plan'!$C:$C,$A14,'Daily Plan'!$A:$A,AT$1)</f>
        <v/>
      </c>
      <c r="AU14" s="47">
        <f>SUMIFS('Daily Plan'!$H:$H,'Daily Plan'!$C:$C,$A14,'Daily Plan'!$A:$A,AU$1)</f>
        <v/>
      </c>
      <c r="AV14" s="47">
        <f>SUMIFS('Daily Plan'!$H:$H,'Daily Plan'!$C:$C,$A14,'Daily Plan'!$A:$A,AV$1)</f>
        <v/>
      </c>
      <c r="AW14" s="47">
        <f>SUMIFS('Daily Plan'!$H:$H,'Daily Plan'!$C:$C,$A14,'Daily Plan'!$A:$A,AW$1)</f>
        <v/>
      </c>
      <c r="AX14" s="47">
        <f>SUMIFS('Daily Plan'!$H:$H,'Daily Plan'!$C:$C,$A14,'Daily Plan'!$A:$A,AX$1)</f>
        <v/>
      </c>
      <c r="AY14" s="48">
        <f>SUMIFS('Daily Plan'!$H:$H,'Daily Plan'!$C:$C,$A14,'Daily Plan'!$A:$A,AY$1)</f>
        <v/>
      </c>
      <c r="AZ14" s="48">
        <f>SUMIFS('Daily Plan'!$H:$H,'Daily Plan'!$C:$C,$A14,'Daily Plan'!$A:$A,AZ$1)</f>
        <v/>
      </c>
      <c r="BA14" s="47">
        <f>SUMIFS('Daily Plan'!$H:$H,'Daily Plan'!$C:$C,$A14,'Daily Plan'!$A:$A,BA$1)</f>
        <v/>
      </c>
      <c r="BB14" s="47">
        <f>SUMIFS('Daily Plan'!$H:$H,'Daily Plan'!$C:$C,$A14,'Daily Plan'!$A:$A,BB$1)</f>
        <v/>
      </c>
      <c r="BC14" s="47">
        <f>SUMIFS('Daily Plan'!$H:$H,'Daily Plan'!$C:$C,$A14,'Daily Plan'!$A:$A,BC$1)</f>
        <v/>
      </c>
      <c r="BD14" s="47">
        <f>SUMIFS('Daily Plan'!$H:$H,'Daily Plan'!$C:$C,$A14,'Daily Plan'!$A:$A,BD$1)</f>
        <v/>
      </c>
      <c r="BE14" s="47">
        <f>SUMIFS('Daily Plan'!$H:$H,'Daily Plan'!$C:$C,$A14,'Daily Plan'!$A:$A,BE$1)</f>
        <v/>
      </c>
      <c r="BF14" s="48">
        <f>SUMIFS('Daily Plan'!$H:$H,'Daily Plan'!$C:$C,$A14,'Daily Plan'!$A:$A,BF$1)</f>
        <v/>
      </c>
      <c r="BG14" s="48">
        <f>SUMIFS('Daily Plan'!$H:$H,'Daily Plan'!$C:$C,$A14,'Daily Plan'!$A:$A,BG$1)</f>
        <v/>
      </c>
      <c r="BH14" s="47">
        <f>SUMIFS('Daily Plan'!$H:$H,'Daily Plan'!$C:$C,$A14,'Daily Plan'!$A:$A,BH$1)</f>
        <v/>
      </c>
      <c r="BI14" s="47">
        <f>SUMIFS('Daily Plan'!$H:$H,'Daily Plan'!$C:$C,$A14,'Daily Plan'!$A:$A,BI$1)</f>
        <v/>
      </c>
      <c r="BJ14" s="47">
        <f>SUMIFS('Daily Plan'!$H:$H,'Daily Plan'!$C:$C,$A14,'Daily Plan'!$A:$A,BJ$1)</f>
        <v/>
      </c>
      <c r="BK14" s="47">
        <f>SUMIFS('Daily Plan'!$H:$H,'Daily Plan'!$C:$C,$A14,'Daily Plan'!$A:$A,BK$1)</f>
        <v/>
      </c>
      <c r="BL14" s="47">
        <f>SUMIFS('Daily Plan'!$H:$H,'Daily Plan'!$C:$C,$A14,'Daily Plan'!$A:$A,BL$1)</f>
        <v/>
      </c>
      <c r="BM14" s="48">
        <f>SUMIFS('Daily Plan'!$H:$H,'Daily Plan'!$C:$C,$A14,'Daily Plan'!$A:$A,BM$1)</f>
        <v/>
      </c>
      <c r="BN14" s="48">
        <f>SUMIFS('Daily Plan'!$H:$H,'Daily Plan'!$C:$C,$A14,'Daily Plan'!$A:$A,BN$1)</f>
        <v/>
      </c>
      <c r="BO14" s="47">
        <f>SUMIFS('Daily Plan'!$H:$H,'Daily Plan'!$C:$C,$A14,'Daily Plan'!$A:$A,BO$1)</f>
        <v/>
      </c>
      <c r="BP14" s="47">
        <f>SUMIFS('Daily Plan'!$H:$H,'Daily Plan'!$C:$C,$A14,'Daily Plan'!$A:$A,BP$1)</f>
        <v/>
      </c>
      <c r="BQ14" s="47">
        <f>SUMIFS('Daily Plan'!$H:$H,'Daily Plan'!$C:$C,$A14,'Daily Plan'!$A:$A,BQ$1)</f>
        <v/>
      </c>
      <c r="BR14" s="47">
        <f>SUMIFS('Daily Plan'!$H:$H,'Daily Plan'!$C:$C,$A14,'Daily Plan'!$A:$A,BR$1)</f>
        <v/>
      </c>
      <c r="BS14" s="47">
        <f>SUMIFS('Daily Plan'!$H:$H,'Daily Plan'!$C:$C,$A14,'Daily Plan'!$A:$A,BS$1)</f>
        <v/>
      </c>
      <c r="BT14" s="48">
        <f>SUMIFS('Daily Plan'!$H:$H,'Daily Plan'!$C:$C,$A14,'Daily Plan'!$A:$A,BT$1)</f>
        <v/>
      </c>
      <c r="BU14" s="48">
        <f>SUMIFS('Daily Plan'!$H:$H,'Daily Plan'!$C:$C,$A14,'Daily Plan'!$A:$A,BU$1)</f>
        <v/>
      </c>
      <c r="BV14" s="47">
        <f>SUMIFS('Daily Plan'!$H:$H,'Daily Plan'!$C:$C,$A14,'Daily Plan'!$A:$A,BV$1)</f>
        <v/>
      </c>
      <c r="BW14" s="47">
        <f>SUMIFS('Daily Plan'!$H:$H,'Daily Plan'!$C:$C,$A14,'Daily Plan'!$A:$A,BW$1)</f>
        <v/>
      </c>
      <c r="BX14" s="47">
        <f>SUMIFS('Daily Plan'!$H:$H,'Daily Plan'!$C:$C,$A14,'Daily Plan'!$A:$A,BX$1)</f>
        <v/>
      </c>
      <c r="BY14" s="47">
        <f>SUMIFS('Daily Plan'!$H:$H,'Daily Plan'!$C:$C,$A14,'Daily Plan'!$A:$A,BY$1)</f>
        <v/>
      </c>
      <c r="BZ14" s="47">
        <f>SUMIFS('Daily Plan'!$H:$H,'Daily Plan'!$C:$C,$A14,'Daily Plan'!$A:$A,BZ$1)</f>
        <v/>
      </c>
      <c r="CA14" s="48">
        <f>SUMIFS('Daily Plan'!$H:$H,'Daily Plan'!$C:$C,$A14,'Daily Plan'!$A:$A,CA$1)</f>
        <v/>
      </c>
      <c r="CB14" s="48">
        <f>SUMIFS('Daily Plan'!$H:$H,'Daily Plan'!$C:$C,$A14,'Daily Plan'!$A:$A,CB$1)</f>
        <v/>
      </c>
      <c r="CC14" s="47">
        <f>SUMIFS('Daily Plan'!$H:$H,'Daily Plan'!$C:$C,$A14,'Daily Plan'!$A:$A,CC$1)</f>
        <v/>
      </c>
      <c r="CD14" s="47">
        <f>SUMIFS('Daily Plan'!$H:$H,'Daily Plan'!$C:$C,$A14,'Daily Plan'!$A:$A,CD$1)</f>
        <v/>
      </c>
      <c r="CE14" s="47">
        <f>SUMIFS('Daily Plan'!$H:$H,'Daily Plan'!$C:$C,$A14,'Daily Plan'!$A:$A,CE$1)</f>
        <v/>
      </c>
      <c r="CF14" s="47">
        <f>SUMIFS('Daily Plan'!$H:$H,'Daily Plan'!$C:$C,$A14,'Daily Plan'!$A:$A,CF$1)</f>
        <v/>
      </c>
      <c r="CG14" s="47">
        <f>SUMIFS('Daily Plan'!$H:$H,'Daily Plan'!$C:$C,$A14,'Daily Plan'!$A:$A,CG$1)</f>
        <v/>
      </c>
      <c r="CH14" s="48">
        <f>SUMIFS('Daily Plan'!$H:$H,'Daily Plan'!$C:$C,$A14,'Daily Plan'!$A:$A,CH$1)</f>
        <v/>
      </c>
      <c r="CI14" s="48">
        <f>SUMIFS('Daily Plan'!$H:$H,'Daily Plan'!$C:$C,$A14,'Daily Plan'!$A:$A,CI$1)</f>
        <v/>
      </c>
      <c r="CJ14" s="47">
        <f>SUMIFS('Daily Plan'!$H:$H,'Daily Plan'!$C:$C,$A14,'Daily Plan'!$A:$A,CJ$1)</f>
        <v/>
      </c>
      <c r="CK14" s="47">
        <f>SUMIFS('Daily Plan'!$H:$H,'Daily Plan'!$C:$C,$A14,'Daily Plan'!$A:$A,CK$1)</f>
        <v/>
      </c>
      <c r="CL14" s="47">
        <f>SUMIFS('Daily Plan'!$H:$H,'Daily Plan'!$C:$C,$A14,'Daily Plan'!$A:$A,CL$1)</f>
        <v/>
      </c>
      <c r="CM14" s="47">
        <f>SUMIFS('Daily Plan'!$H:$H,'Daily Plan'!$C:$C,$A14,'Daily Plan'!$A:$A,CM$1)</f>
        <v/>
      </c>
      <c r="CN14" s="47">
        <f>SUMIFS('Daily Plan'!$H:$H,'Daily Plan'!$C:$C,$A14,'Daily Plan'!$A:$A,CN$1)</f>
        <v/>
      </c>
      <c r="CO14" s="48">
        <f>SUMIFS('Daily Plan'!$H:$H,'Daily Plan'!$C:$C,$A14,'Daily Plan'!$A:$A,CO$1)</f>
        <v/>
      </c>
      <c r="CP14" s="48">
        <f>SUMIFS('Daily Plan'!$H:$H,'Daily Plan'!$C:$C,$A14,'Daily Plan'!$A:$A,CP$1)</f>
        <v/>
      </c>
      <c r="CQ14" s="47">
        <f>SUMIFS('Daily Plan'!$H:$H,'Daily Plan'!$C:$C,$A14,'Daily Plan'!$A:$A,CQ$1)</f>
        <v/>
      </c>
      <c r="CR14" s="47">
        <f>SUMIFS('Daily Plan'!$H:$H,'Daily Plan'!$C:$C,$A14,'Daily Plan'!$A:$A,CR$1)</f>
        <v/>
      </c>
      <c r="CS14" s="47">
        <f>SUMIFS('Daily Plan'!$H:$H,'Daily Plan'!$C:$C,$A14,'Daily Plan'!$A:$A,CS$1)</f>
        <v/>
      </c>
      <c r="CT14" s="47">
        <f>SUMIFS('Daily Plan'!$H:$H,'Daily Plan'!$C:$C,$A14,'Daily Plan'!$A:$A,CT$1)</f>
        <v/>
      </c>
      <c r="CU14" s="47">
        <f>SUMIFS('Daily Plan'!$H:$H,'Daily Plan'!$C:$C,$A14,'Daily Plan'!$A:$A,CU$1)</f>
        <v/>
      </c>
      <c r="CV14" s="48">
        <f>SUMIFS('Daily Plan'!$H:$H,'Daily Plan'!$C:$C,$A14,'Daily Plan'!$A:$A,CV$1)</f>
        <v/>
      </c>
      <c r="CW14" s="48">
        <f>SUMIFS('Daily Plan'!$H:$H,'Daily Plan'!$C:$C,$A14,'Daily Plan'!$A:$A,CW$1)</f>
        <v/>
      </c>
      <c r="CX14" s="47">
        <f>SUMIFS('Daily Plan'!$H:$H,'Daily Plan'!$C:$C,$A14,'Daily Plan'!$A:$A,CX$1)</f>
        <v/>
      </c>
      <c r="CY14" s="47">
        <f>SUMIFS('Daily Plan'!$H:$H,'Daily Plan'!$C:$C,$A14,'Daily Plan'!$A:$A,CY$1)</f>
        <v/>
      </c>
      <c r="CZ14" s="47">
        <f>SUMIFS('Daily Plan'!$H:$H,'Daily Plan'!$C:$C,$A14,'Daily Plan'!$A:$A,CZ$1)</f>
        <v/>
      </c>
      <c r="DA14" s="47">
        <f>SUMIFS('Daily Plan'!$H:$H,'Daily Plan'!$C:$C,$A14,'Daily Plan'!$A:$A,DA$1)</f>
        <v/>
      </c>
      <c r="DB14" s="47">
        <f>SUMIFS('Daily Plan'!$H:$H,'Daily Plan'!$C:$C,$A14,'Daily Plan'!$A:$A,DB$1)</f>
        <v/>
      </c>
      <c r="DC14" s="48">
        <f>SUMIFS('Daily Plan'!$H:$H,'Daily Plan'!$C:$C,$A14,'Daily Plan'!$A:$A,DC$1)</f>
        <v/>
      </c>
      <c r="DD14" s="48">
        <f>SUMIFS('Daily Plan'!$H:$H,'Daily Plan'!$C:$C,$A14,'Daily Plan'!$A:$A,DD$1)</f>
        <v/>
      </c>
      <c r="DE14" s="47">
        <f>SUMIFS('Daily Plan'!$H:$H,'Daily Plan'!$C:$C,$A14,'Daily Plan'!$A:$A,DE$1)</f>
        <v/>
      </c>
      <c r="DF14" s="47">
        <f>SUMIFS('Daily Plan'!$H:$H,'Daily Plan'!$C:$C,$A14,'Daily Plan'!$A:$A,DF$1)</f>
        <v/>
      </c>
      <c r="DG14" s="47">
        <f>SUMIFS('Daily Plan'!$H:$H,'Daily Plan'!$C:$C,$A14,'Daily Plan'!$A:$A,DG$1)</f>
        <v/>
      </c>
      <c r="DH14" s="47">
        <f>SUMIFS('Daily Plan'!$H:$H,'Daily Plan'!$C:$C,$A14,'Daily Plan'!$A:$A,DH$1)</f>
        <v/>
      </c>
      <c r="DI14" s="47">
        <f>SUMIFS('Daily Plan'!$H:$H,'Daily Plan'!$C:$C,$A14,'Daily Plan'!$A:$A,DI$1)</f>
        <v/>
      </c>
      <c r="DJ14" s="48">
        <f>SUMIFS('Daily Plan'!$H:$H,'Daily Plan'!$C:$C,$A14,'Daily Plan'!$A:$A,DJ$1)</f>
        <v/>
      </c>
      <c r="DK14" s="48">
        <f>SUMIFS('Daily Plan'!$H:$H,'Daily Plan'!$C:$C,$A14,'Daily Plan'!$A:$A,DK$1)</f>
        <v/>
      </c>
      <c r="DL14" s="47">
        <f>SUMIFS('Daily Plan'!$H:$H,'Daily Plan'!$C:$C,$A14,'Daily Plan'!$A:$A,DL$1)</f>
        <v/>
      </c>
      <c r="DM14" s="47">
        <f>SUMIFS('Daily Plan'!$H:$H,'Daily Plan'!$C:$C,$A14,'Daily Plan'!$A:$A,DM$1)</f>
        <v/>
      </c>
      <c r="DN14" s="47">
        <f>SUMIFS('Daily Plan'!$H:$H,'Daily Plan'!$C:$C,$A14,'Daily Plan'!$A:$A,DN$1)</f>
        <v/>
      </c>
      <c r="DO14" s="47">
        <f>SUMIFS('Daily Plan'!$H:$H,'Daily Plan'!$C:$C,$A14,'Daily Plan'!$A:$A,DO$1)</f>
        <v/>
      </c>
      <c r="DP14" s="47">
        <f>SUMIFS('Daily Plan'!$H:$H,'Daily Plan'!$C:$C,$A14,'Daily Plan'!$A:$A,DP$1)</f>
        <v/>
      </c>
      <c r="DQ14" s="48">
        <f>SUMIFS('Daily Plan'!$H:$H,'Daily Plan'!$C:$C,$A14,'Daily Plan'!$A:$A,DQ$1)</f>
        <v/>
      </c>
      <c r="DR14" s="48">
        <f>SUMIFS('Daily Plan'!$H:$H,'Daily Plan'!$C:$C,$A14,'Daily Plan'!$A:$A,DR$1)</f>
        <v/>
      </c>
      <c r="DS14" s="47">
        <f>SUMIFS('Daily Plan'!$H:$H,'Daily Plan'!$C:$C,$A14,'Daily Plan'!$A:$A,DS$1)</f>
        <v/>
      </c>
      <c r="DT14" s="47">
        <f>SUMIFS('Daily Plan'!$H:$H,'Daily Plan'!$C:$C,$A14,'Daily Plan'!$A:$A,DT$1)</f>
        <v/>
      </c>
      <c r="DU14" s="47">
        <f>SUMIFS('Daily Plan'!$H:$H,'Daily Plan'!$C:$C,$A14,'Daily Plan'!$A:$A,DU$1)</f>
        <v/>
      </c>
      <c r="DV14" s="47">
        <f>SUMIFS('Daily Plan'!$H:$H,'Daily Plan'!$C:$C,$A14,'Daily Plan'!$A:$A,DV$1)</f>
        <v/>
      </c>
      <c r="DW14" s="47">
        <f>SUMIFS('Daily Plan'!$H:$H,'Daily Plan'!$C:$C,$A14,'Daily Plan'!$A:$A,DW$1)</f>
        <v/>
      </c>
      <c r="DX14" s="48">
        <f>SUMIFS('Daily Plan'!$H:$H,'Daily Plan'!$C:$C,$A14,'Daily Plan'!$A:$A,DX$1)</f>
        <v/>
      </c>
      <c r="DY14" s="48">
        <f>SUMIFS('Daily Plan'!$H:$H,'Daily Plan'!$C:$C,$A14,'Daily Plan'!$A:$A,DY$1)</f>
        <v/>
      </c>
      <c r="DZ14" s="47">
        <f>SUMIFS('Daily Plan'!$H:$H,'Daily Plan'!$C:$C,$A14,'Daily Plan'!$A:$A,DZ$1)</f>
        <v/>
      </c>
      <c r="EA14" s="47">
        <f>SUMIFS('Daily Plan'!$H:$H,'Daily Plan'!$C:$C,$A14,'Daily Plan'!$A:$A,EA$1)</f>
        <v/>
      </c>
      <c r="EB14" s="47">
        <f>SUMIFS('Daily Plan'!$H:$H,'Daily Plan'!$C:$C,$A14,'Daily Plan'!$A:$A,EB$1)</f>
        <v/>
      </c>
      <c r="EC14" s="47">
        <f>SUMIFS('Daily Plan'!$H:$H,'Daily Plan'!$C:$C,$A14,'Daily Plan'!$A:$A,EC$1)</f>
        <v/>
      </c>
      <c r="ED14" s="47">
        <f>SUMIFS('Daily Plan'!$H:$H,'Daily Plan'!$C:$C,$A14,'Daily Plan'!$A:$A,ED$1)</f>
        <v/>
      </c>
      <c r="EE14" s="48">
        <f>SUMIFS('Daily Plan'!$H:$H,'Daily Plan'!$C:$C,$A14,'Daily Plan'!$A:$A,EE$1)</f>
        <v/>
      </c>
      <c r="EF14" s="48">
        <f>SUMIFS('Daily Plan'!$H:$H,'Daily Plan'!$C:$C,$A14,'Daily Plan'!$A:$A,EF$1)</f>
        <v/>
      </c>
      <c r="EG14" s="47">
        <f>SUMIFS('Daily Plan'!$H:$H,'Daily Plan'!$C:$C,$A14,'Daily Plan'!$A:$A,EG$1)</f>
        <v/>
      </c>
      <c r="EH14" s="47">
        <f>SUMIFS('Daily Plan'!$H:$H,'Daily Plan'!$C:$C,$A14,'Daily Plan'!$A:$A,EH$1)</f>
        <v/>
      </c>
      <c r="EI14" s="47">
        <f>SUMIFS('Daily Plan'!$H:$H,'Daily Plan'!$C:$C,$A14,'Daily Plan'!$A:$A,EI$1)</f>
        <v/>
      </c>
      <c r="EJ14" s="47">
        <f>SUMIFS('Daily Plan'!$H:$H,'Daily Plan'!$C:$C,$A14,'Daily Plan'!$A:$A,EJ$1)</f>
        <v/>
      </c>
      <c r="EK14" s="47">
        <f>SUMIFS('Daily Plan'!$H:$H,'Daily Plan'!$C:$C,$A14,'Daily Plan'!$A:$A,EK$1)</f>
        <v/>
      </c>
      <c r="EL14" s="48">
        <f>SUMIFS('Daily Plan'!$H:$H,'Daily Plan'!$C:$C,$A14,'Daily Plan'!$A:$A,EL$1)</f>
        <v/>
      </c>
      <c r="EM14" s="48">
        <f>SUMIFS('Daily Plan'!$H:$H,'Daily Plan'!$C:$C,$A14,'Daily Plan'!$A:$A,EM$1)</f>
        <v/>
      </c>
      <c r="EN14" s="47">
        <f>SUMIFS('Daily Plan'!$H:$H,'Daily Plan'!$C:$C,$A14,'Daily Plan'!$A:$A,EN$1)</f>
        <v/>
      </c>
      <c r="EO14" s="47">
        <f>SUMIFS('Daily Plan'!$H:$H,'Daily Plan'!$C:$C,$A14,'Daily Plan'!$A:$A,EO$1)</f>
        <v/>
      </c>
      <c r="EP14" s="47">
        <f>SUMIFS('Daily Plan'!$H:$H,'Daily Plan'!$C:$C,$A14,'Daily Plan'!$A:$A,EP$1)</f>
        <v/>
      </c>
      <c r="EQ14" s="47">
        <f>SUMIFS('Daily Plan'!$H:$H,'Daily Plan'!$C:$C,$A14,'Daily Plan'!$A:$A,EQ$1)</f>
        <v/>
      </c>
      <c r="ER14" s="47">
        <f>SUMIFS('Daily Plan'!$H:$H,'Daily Plan'!$C:$C,$A14,'Daily Plan'!$A:$A,ER$1)</f>
        <v/>
      </c>
      <c r="ES14" s="48">
        <f>SUMIFS('Daily Plan'!$H:$H,'Daily Plan'!$C:$C,$A14,'Daily Plan'!$A:$A,ES$1)</f>
        <v/>
      </c>
      <c r="ET14" s="48">
        <f>SUMIFS('Daily Plan'!$H:$H,'Daily Plan'!$C:$C,$A14,'Daily Plan'!$A:$A,ET$1)</f>
        <v/>
      </c>
      <c r="EU14" s="47">
        <f>SUMIFS('Daily Plan'!$H:$H,'Daily Plan'!$C:$C,$A14,'Daily Plan'!$A:$A,EU$1)</f>
        <v/>
      </c>
      <c r="EV14" s="47">
        <f>SUMIFS('Daily Plan'!$H:$H,'Daily Plan'!$C:$C,$A14,'Daily Plan'!$A:$A,EV$1)</f>
        <v/>
      </c>
      <c r="EW14" s="47">
        <f>SUMIFS('Daily Plan'!$H:$H,'Daily Plan'!$C:$C,$A14,'Daily Plan'!$A:$A,EW$1)</f>
        <v/>
      </c>
      <c r="EX14" s="47">
        <f>SUMIFS('Daily Plan'!$H:$H,'Daily Plan'!$C:$C,$A14,'Daily Plan'!$A:$A,EX$1)</f>
        <v/>
      </c>
      <c r="EY14" s="47">
        <f>SUMIFS('Daily Plan'!$H:$H,'Daily Plan'!$C:$C,$A14,'Daily Plan'!$A:$A,EY$1)</f>
        <v/>
      </c>
      <c r="EZ14" s="48">
        <f>SUMIFS('Daily Plan'!$H:$H,'Daily Plan'!$C:$C,$A14,'Daily Plan'!$A:$A,EZ$1)</f>
        <v/>
      </c>
      <c r="FA14" s="48">
        <f>SUMIFS('Daily Plan'!$H:$H,'Daily Plan'!$C:$C,$A14,'Daily Plan'!$A:$A,FA$1)</f>
        <v/>
      </c>
      <c r="FB14" s="47">
        <f>SUMIFS('Daily Plan'!$H:$H,'Daily Plan'!$C:$C,$A14,'Daily Plan'!$A:$A,FB$1)</f>
        <v/>
      </c>
      <c r="FC14" s="47">
        <f>SUMIFS('Daily Plan'!$H:$H,'Daily Plan'!$C:$C,$A14,'Daily Plan'!$A:$A,FC$1)</f>
        <v/>
      </c>
      <c r="FD14" s="47">
        <f>SUMIFS('Daily Plan'!$H:$H,'Daily Plan'!$C:$C,$A14,'Daily Plan'!$A:$A,FD$1)</f>
        <v/>
      </c>
      <c r="FE14" s="47">
        <f>SUMIFS('Daily Plan'!$H:$H,'Daily Plan'!$C:$C,$A14,'Daily Plan'!$A:$A,FE$1)</f>
        <v/>
      </c>
      <c r="FF14" s="47">
        <f>SUMIFS('Daily Plan'!$H:$H,'Daily Plan'!$C:$C,$A14,'Daily Plan'!$A:$A,FF$1)</f>
        <v/>
      </c>
      <c r="FG14" s="48">
        <f>SUMIFS('Daily Plan'!$H:$H,'Daily Plan'!$C:$C,$A14,'Daily Plan'!$A:$A,FG$1)</f>
        <v/>
      </c>
      <c r="FH14" s="48">
        <f>SUMIFS('Daily Plan'!$H:$H,'Daily Plan'!$C:$C,$A14,'Daily Plan'!$A:$A,FH$1)</f>
        <v/>
      </c>
      <c r="FI14" s="47">
        <f>SUMIFS('Daily Plan'!$H:$H,'Daily Plan'!$C:$C,$A14,'Daily Plan'!$A:$A,FI$1)</f>
        <v/>
      </c>
      <c r="FJ14" s="47">
        <f>SUMIFS('Daily Plan'!$H:$H,'Daily Plan'!$C:$C,$A14,'Daily Plan'!$A:$A,FJ$1)</f>
        <v/>
      </c>
      <c r="FK14" s="47">
        <f>SUMIFS('Daily Plan'!$H:$H,'Daily Plan'!$C:$C,$A14,'Daily Plan'!$A:$A,FK$1)</f>
        <v/>
      </c>
      <c r="FL14" s="47">
        <f>SUMIFS('Daily Plan'!$H:$H,'Daily Plan'!$C:$C,$A14,'Daily Plan'!$A:$A,FL$1)</f>
        <v/>
      </c>
      <c r="FM14" s="47">
        <f>SUMIFS('Daily Plan'!$H:$H,'Daily Plan'!$C:$C,$A14,'Daily Plan'!$A:$A,FM$1)</f>
        <v/>
      </c>
      <c r="FN14" s="48">
        <f>SUMIFS('Daily Plan'!$H:$H,'Daily Plan'!$C:$C,$A14,'Daily Plan'!$A:$A,FN$1)</f>
        <v/>
      </c>
      <c r="FO14" s="48">
        <f>SUMIFS('Daily Plan'!$H:$H,'Daily Plan'!$C:$C,$A14,'Daily Plan'!$A:$A,FO$1)</f>
        <v/>
      </c>
      <c r="FP14" s="47">
        <f>SUMIFS('Daily Plan'!$H:$H,'Daily Plan'!$C:$C,$A14,'Daily Plan'!$A:$A,FP$1)</f>
        <v/>
      </c>
      <c r="FQ14" s="47">
        <f>SUMIFS('Daily Plan'!$H:$H,'Daily Plan'!$C:$C,$A14,'Daily Plan'!$A:$A,FQ$1)</f>
        <v/>
      </c>
      <c r="FR14" s="47">
        <f>SUMIFS('Daily Plan'!$H:$H,'Daily Plan'!$C:$C,$A14,'Daily Plan'!$A:$A,FR$1)</f>
        <v/>
      </c>
      <c r="FS14" s="47">
        <f>SUMIFS('Daily Plan'!$H:$H,'Daily Plan'!$C:$C,$A14,'Daily Plan'!$A:$A,FS$1)</f>
        <v/>
      </c>
    </row>
    <row r="15">
      <c r="A15" s="23" t="inlineStr">
        <is>
          <t>CDP-2</t>
        </is>
      </c>
      <c r="B15" s="23" t="inlineStr">
        <is>
          <t>代码设计</t>
        </is>
      </c>
      <c r="C15" s="2" t="inlineStr">
        <is>
          <t>硬编码参数清理</t>
        </is>
      </c>
      <c r="D15" s="43" t="n"/>
      <c r="E15" s="43" t="n"/>
      <c r="F15" s="23" t="inlineStr">
        <is>
          <t>done</t>
        </is>
      </c>
      <c r="G15" s="44">
        <f>SUMIF('Daily Plan'!$C:$C,A15,'Daily Plan'!$H:$H)</f>
        <v/>
      </c>
      <c r="H15" s="44">
        <f>SUMIF('Daily Plan'!$C:$C,A15,'Daily Plan'!$I:$I)</f>
        <v/>
      </c>
      <c r="I15" s="44">
        <f>MAX(G15-H15,0)</f>
        <v/>
      </c>
      <c r="J15" s="25">
        <f>IF(G15=0,IF(F15="done",1,0),H15/G15)</f>
        <v/>
      </c>
      <c r="K15" s="2" t="inlineStr">
        <is>
          <t>无</t>
        </is>
      </c>
      <c r="L15" s="2" t="inlineStr">
        <is>
          <t>已完成，无新增计划工时</t>
        </is>
      </c>
      <c r="M15" s="47">
        <f>SUMIFS('Daily Plan'!$H:$H,'Daily Plan'!$C:$C,$A15,'Daily Plan'!$A:$A,M$1)</f>
        <v/>
      </c>
      <c r="N15" s="47">
        <f>SUMIFS('Daily Plan'!$H:$H,'Daily Plan'!$C:$C,$A15,'Daily Plan'!$A:$A,N$1)</f>
        <v/>
      </c>
      <c r="O15" s="47">
        <f>SUMIFS('Daily Plan'!$H:$H,'Daily Plan'!$C:$C,$A15,'Daily Plan'!$A:$A,O$1)</f>
        <v/>
      </c>
      <c r="P15" s="48">
        <f>SUMIFS('Daily Plan'!$H:$H,'Daily Plan'!$C:$C,$A15,'Daily Plan'!$A:$A,P$1)</f>
        <v/>
      </c>
      <c r="Q15" s="48">
        <f>SUMIFS('Daily Plan'!$H:$H,'Daily Plan'!$C:$C,$A15,'Daily Plan'!$A:$A,Q$1)</f>
        <v/>
      </c>
      <c r="R15" s="47">
        <f>SUMIFS('Daily Plan'!$H:$H,'Daily Plan'!$C:$C,$A15,'Daily Plan'!$A:$A,R$1)</f>
        <v/>
      </c>
      <c r="S15" s="47">
        <f>SUMIFS('Daily Plan'!$H:$H,'Daily Plan'!$C:$C,$A15,'Daily Plan'!$A:$A,S$1)</f>
        <v/>
      </c>
      <c r="T15" s="47">
        <f>SUMIFS('Daily Plan'!$H:$H,'Daily Plan'!$C:$C,$A15,'Daily Plan'!$A:$A,T$1)</f>
        <v/>
      </c>
      <c r="U15" s="47">
        <f>SUMIFS('Daily Plan'!$H:$H,'Daily Plan'!$C:$C,$A15,'Daily Plan'!$A:$A,U$1)</f>
        <v/>
      </c>
      <c r="V15" s="47">
        <f>SUMIFS('Daily Plan'!$H:$H,'Daily Plan'!$C:$C,$A15,'Daily Plan'!$A:$A,V$1)</f>
        <v/>
      </c>
      <c r="W15" s="48">
        <f>SUMIFS('Daily Plan'!$H:$H,'Daily Plan'!$C:$C,$A15,'Daily Plan'!$A:$A,W$1)</f>
        <v/>
      </c>
      <c r="X15" s="48">
        <f>SUMIFS('Daily Plan'!$H:$H,'Daily Plan'!$C:$C,$A15,'Daily Plan'!$A:$A,X$1)</f>
        <v/>
      </c>
      <c r="Y15" s="47">
        <f>SUMIFS('Daily Plan'!$H:$H,'Daily Plan'!$C:$C,$A15,'Daily Plan'!$A:$A,Y$1)</f>
        <v/>
      </c>
      <c r="Z15" s="47">
        <f>SUMIFS('Daily Plan'!$H:$H,'Daily Plan'!$C:$C,$A15,'Daily Plan'!$A:$A,Z$1)</f>
        <v/>
      </c>
      <c r="AA15" s="47">
        <f>SUMIFS('Daily Plan'!$H:$H,'Daily Plan'!$C:$C,$A15,'Daily Plan'!$A:$A,AA$1)</f>
        <v/>
      </c>
      <c r="AB15" s="47">
        <f>SUMIFS('Daily Plan'!$H:$H,'Daily Plan'!$C:$C,$A15,'Daily Plan'!$A:$A,AB$1)</f>
        <v/>
      </c>
      <c r="AC15" s="47">
        <f>SUMIFS('Daily Plan'!$H:$H,'Daily Plan'!$C:$C,$A15,'Daily Plan'!$A:$A,AC$1)</f>
        <v/>
      </c>
      <c r="AD15" s="48">
        <f>SUMIFS('Daily Plan'!$H:$H,'Daily Plan'!$C:$C,$A15,'Daily Plan'!$A:$A,AD$1)</f>
        <v/>
      </c>
      <c r="AE15" s="48">
        <f>SUMIFS('Daily Plan'!$H:$H,'Daily Plan'!$C:$C,$A15,'Daily Plan'!$A:$A,AE$1)</f>
        <v/>
      </c>
      <c r="AF15" s="47">
        <f>SUMIFS('Daily Plan'!$H:$H,'Daily Plan'!$C:$C,$A15,'Daily Plan'!$A:$A,AF$1)</f>
        <v/>
      </c>
      <c r="AG15" s="47">
        <f>SUMIFS('Daily Plan'!$H:$H,'Daily Plan'!$C:$C,$A15,'Daily Plan'!$A:$A,AG$1)</f>
        <v/>
      </c>
      <c r="AH15" s="47">
        <f>SUMIFS('Daily Plan'!$H:$H,'Daily Plan'!$C:$C,$A15,'Daily Plan'!$A:$A,AH$1)</f>
        <v/>
      </c>
      <c r="AI15" s="47">
        <f>SUMIFS('Daily Plan'!$H:$H,'Daily Plan'!$C:$C,$A15,'Daily Plan'!$A:$A,AI$1)</f>
        <v/>
      </c>
      <c r="AJ15" s="47">
        <f>SUMIFS('Daily Plan'!$H:$H,'Daily Plan'!$C:$C,$A15,'Daily Plan'!$A:$A,AJ$1)</f>
        <v/>
      </c>
      <c r="AK15" s="48">
        <f>SUMIFS('Daily Plan'!$H:$H,'Daily Plan'!$C:$C,$A15,'Daily Plan'!$A:$A,AK$1)</f>
        <v/>
      </c>
      <c r="AL15" s="48">
        <f>SUMIFS('Daily Plan'!$H:$H,'Daily Plan'!$C:$C,$A15,'Daily Plan'!$A:$A,AL$1)</f>
        <v/>
      </c>
      <c r="AM15" s="47">
        <f>SUMIFS('Daily Plan'!$H:$H,'Daily Plan'!$C:$C,$A15,'Daily Plan'!$A:$A,AM$1)</f>
        <v/>
      </c>
      <c r="AN15" s="47">
        <f>SUMIFS('Daily Plan'!$H:$H,'Daily Plan'!$C:$C,$A15,'Daily Plan'!$A:$A,AN$1)</f>
        <v/>
      </c>
      <c r="AO15" s="47">
        <f>SUMIFS('Daily Plan'!$H:$H,'Daily Plan'!$C:$C,$A15,'Daily Plan'!$A:$A,AO$1)</f>
        <v/>
      </c>
      <c r="AP15" s="47">
        <f>SUMIFS('Daily Plan'!$H:$H,'Daily Plan'!$C:$C,$A15,'Daily Plan'!$A:$A,AP$1)</f>
        <v/>
      </c>
      <c r="AQ15" s="47">
        <f>SUMIFS('Daily Plan'!$H:$H,'Daily Plan'!$C:$C,$A15,'Daily Plan'!$A:$A,AQ$1)</f>
        <v/>
      </c>
      <c r="AR15" s="48">
        <f>SUMIFS('Daily Plan'!$H:$H,'Daily Plan'!$C:$C,$A15,'Daily Plan'!$A:$A,AR$1)</f>
        <v/>
      </c>
      <c r="AS15" s="48">
        <f>SUMIFS('Daily Plan'!$H:$H,'Daily Plan'!$C:$C,$A15,'Daily Plan'!$A:$A,AS$1)</f>
        <v/>
      </c>
      <c r="AT15" s="47">
        <f>SUMIFS('Daily Plan'!$H:$H,'Daily Plan'!$C:$C,$A15,'Daily Plan'!$A:$A,AT$1)</f>
        <v/>
      </c>
      <c r="AU15" s="47">
        <f>SUMIFS('Daily Plan'!$H:$H,'Daily Plan'!$C:$C,$A15,'Daily Plan'!$A:$A,AU$1)</f>
        <v/>
      </c>
      <c r="AV15" s="47">
        <f>SUMIFS('Daily Plan'!$H:$H,'Daily Plan'!$C:$C,$A15,'Daily Plan'!$A:$A,AV$1)</f>
        <v/>
      </c>
      <c r="AW15" s="47">
        <f>SUMIFS('Daily Plan'!$H:$H,'Daily Plan'!$C:$C,$A15,'Daily Plan'!$A:$A,AW$1)</f>
        <v/>
      </c>
      <c r="AX15" s="47">
        <f>SUMIFS('Daily Plan'!$H:$H,'Daily Plan'!$C:$C,$A15,'Daily Plan'!$A:$A,AX$1)</f>
        <v/>
      </c>
      <c r="AY15" s="48">
        <f>SUMIFS('Daily Plan'!$H:$H,'Daily Plan'!$C:$C,$A15,'Daily Plan'!$A:$A,AY$1)</f>
        <v/>
      </c>
      <c r="AZ15" s="48">
        <f>SUMIFS('Daily Plan'!$H:$H,'Daily Plan'!$C:$C,$A15,'Daily Plan'!$A:$A,AZ$1)</f>
        <v/>
      </c>
      <c r="BA15" s="47">
        <f>SUMIFS('Daily Plan'!$H:$H,'Daily Plan'!$C:$C,$A15,'Daily Plan'!$A:$A,BA$1)</f>
        <v/>
      </c>
      <c r="BB15" s="47">
        <f>SUMIFS('Daily Plan'!$H:$H,'Daily Plan'!$C:$C,$A15,'Daily Plan'!$A:$A,BB$1)</f>
        <v/>
      </c>
      <c r="BC15" s="47">
        <f>SUMIFS('Daily Plan'!$H:$H,'Daily Plan'!$C:$C,$A15,'Daily Plan'!$A:$A,BC$1)</f>
        <v/>
      </c>
      <c r="BD15" s="47">
        <f>SUMIFS('Daily Plan'!$H:$H,'Daily Plan'!$C:$C,$A15,'Daily Plan'!$A:$A,BD$1)</f>
        <v/>
      </c>
      <c r="BE15" s="47">
        <f>SUMIFS('Daily Plan'!$H:$H,'Daily Plan'!$C:$C,$A15,'Daily Plan'!$A:$A,BE$1)</f>
        <v/>
      </c>
      <c r="BF15" s="48">
        <f>SUMIFS('Daily Plan'!$H:$H,'Daily Plan'!$C:$C,$A15,'Daily Plan'!$A:$A,BF$1)</f>
        <v/>
      </c>
      <c r="BG15" s="48">
        <f>SUMIFS('Daily Plan'!$H:$H,'Daily Plan'!$C:$C,$A15,'Daily Plan'!$A:$A,BG$1)</f>
        <v/>
      </c>
      <c r="BH15" s="47">
        <f>SUMIFS('Daily Plan'!$H:$H,'Daily Plan'!$C:$C,$A15,'Daily Plan'!$A:$A,BH$1)</f>
        <v/>
      </c>
      <c r="BI15" s="47">
        <f>SUMIFS('Daily Plan'!$H:$H,'Daily Plan'!$C:$C,$A15,'Daily Plan'!$A:$A,BI$1)</f>
        <v/>
      </c>
      <c r="BJ15" s="47">
        <f>SUMIFS('Daily Plan'!$H:$H,'Daily Plan'!$C:$C,$A15,'Daily Plan'!$A:$A,BJ$1)</f>
        <v/>
      </c>
      <c r="BK15" s="47">
        <f>SUMIFS('Daily Plan'!$H:$H,'Daily Plan'!$C:$C,$A15,'Daily Plan'!$A:$A,BK$1)</f>
        <v/>
      </c>
      <c r="BL15" s="47">
        <f>SUMIFS('Daily Plan'!$H:$H,'Daily Plan'!$C:$C,$A15,'Daily Plan'!$A:$A,BL$1)</f>
        <v/>
      </c>
      <c r="BM15" s="48">
        <f>SUMIFS('Daily Plan'!$H:$H,'Daily Plan'!$C:$C,$A15,'Daily Plan'!$A:$A,BM$1)</f>
        <v/>
      </c>
      <c r="BN15" s="48">
        <f>SUMIFS('Daily Plan'!$H:$H,'Daily Plan'!$C:$C,$A15,'Daily Plan'!$A:$A,BN$1)</f>
        <v/>
      </c>
      <c r="BO15" s="47">
        <f>SUMIFS('Daily Plan'!$H:$H,'Daily Plan'!$C:$C,$A15,'Daily Plan'!$A:$A,BO$1)</f>
        <v/>
      </c>
      <c r="BP15" s="47">
        <f>SUMIFS('Daily Plan'!$H:$H,'Daily Plan'!$C:$C,$A15,'Daily Plan'!$A:$A,BP$1)</f>
        <v/>
      </c>
      <c r="BQ15" s="47">
        <f>SUMIFS('Daily Plan'!$H:$H,'Daily Plan'!$C:$C,$A15,'Daily Plan'!$A:$A,BQ$1)</f>
        <v/>
      </c>
      <c r="BR15" s="47">
        <f>SUMIFS('Daily Plan'!$H:$H,'Daily Plan'!$C:$C,$A15,'Daily Plan'!$A:$A,BR$1)</f>
        <v/>
      </c>
      <c r="BS15" s="47">
        <f>SUMIFS('Daily Plan'!$H:$H,'Daily Plan'!$C:$C,$A15,'Daily Plan'!$A:$A,BS$1)</f>
        <v/>
      </c>
      <c r="BT15" s="48">
        <f>SUMIFS('Daily Plan'!$H:$H,'Daily Plan'!$C:$C,$A15,'Daily Plan'!$A:$A,BT$1)</f>
        <v/>
      </c>
      <c r="BU15" s="48">
        <f>SUMIFS('Daily Plan'!$H:$H,'Daily Plan'!$C:$C,$A15,'Daily Plan'!$A:$A,BU$1)</f>
        <v/>
      </c>
      <c r="BV15" s="47">
        <f>SUMIFS('Daily Plan'!$H:$H,'Daily Plan'!$C:$C,$A15,'Daily Plan'!$A:$A,BV$1)</f>
        <v/>
      </c>
      <c r="BW15" s="47">
        <f>SUMIFS('Daily Plan'!$H:$H,'Daily Plan'!$C:$C,$A15,'Daily Plan'!$A:$A,BW$1)</f>
        <v/>
      </c>
      <c r="BX15" s="47">
        <f>SUMIFS('Daily Plan'!$H:$H,'Daily Plan'!$C:$C,$A15,'Daily Plan'!$A:$A,BX$1)</f>
        <v/>
      </c>
      <c r="BY15" s="47">
        <f>SUMIFS('Daily Plan'!$H:$H,'Daily Plan'!$C:$C,$A15,'Daily Plan'!$A:$A,BY$1)</f>
        <v/>
      </c>
      <c r="BZ15" s="47">
        <f>SUMIFS('Daily Plan'!$H:$H,'Daily Plan'!$C:$C,$A15,'Daily Plan'!$A:$A,BZ$1)</f>
        <v/>
      </c>
      <c r="CA15" s="48">
        <f>SUMIFS('Daily Plan'!$H:$H,'Daily Plan'!$C:$C,$A15,'Daily Plan'!$A:$A,CA$1)</f>
        <v/>
      </c>
      <c r="CB15" s="48">
        <f>SUMIFS('Daily Plan'!$H:$H,'Daily Plan'!$C:$C,$A15,'Daily Plan'!$A:$A,CB$1)</f>
        <v/>
      </c>
      <c r="CC15" s="47">
        <f>SUMIFS('Daily Plan'!$H:$H,'Daily Plan'!$C:$C,$A15,'Daily Plan'!$A:$A,CC$1)</f>
        <v/>
      </c>
      <c r="CD15" s="47">
        <f>SUMIFS('Daily Plan'!$H:$H,'Daily Plan'!$C:$C,$A15,'Daily Plan'!$A:$A,CD$1)</f>
        <v/>
      </c>
      <c r="CE15" s="47">
        <f>SUMIFS('Daily Plan'!$H:$H,'Daily Plan'!$C:$C,$A15,'Daily Plan'!$A:$A,CE$1)</f>
        <v/>
      </c>
      <c r="CF15" s="47">
        <f>SUMIFS('Daily Plan'!$H:$H,'Daily Plan'!$C:$C,$A15,'Daily Plan'!$A:$A,CF$1)</f>
        <v/>
      </c>
      <c r="CG15" s="47">
        <f>SUMIFS('Daily Plan'!$H:$H,'Daily Plan'!$C:$C,$A15,'Daily Plan'!$A:$A,CG$1)</f>
        <v/>
      </c>
      <c r="CH15" s="48">
        <f>SUMIFS('Daily Plan'!$H:$H,'Daily Plan'!$C:$C,$A15,'Daily Plan'!$A:$A,CH$1)</f>
        <v/>
      </c>
      <c r="CI15" s="48">
        <f>SUMIFS('Daily Plan'!$H:$H,'Daily Plan'!$C:$C,$A15,'Daily Plan'!$A:$A,CI$1)</f>
        <v/>
      </c>
      <c r="CJ15" s="47">
        <f>SUMIFS('Daily Plan'!$H:$H,'Daily Plan'!$C:$C,$A15,'Daily Plan'!$A:$A,CJ$1)</f>
        <v/>
      </c>
      <c r="CK15" s="47">
        <f>SUMIFS('Daily Plan'!$H:$H,'Daily Plan'!$C:$C,$A15,'Daily Plan'!$A:$A,CK$1)</f>
        <v/>
      </c>
      <c r="CL15" s="47">
        <f>SUMIFS('Daily Plan'!$H:$H,'Daily Plan'!$C:$C,$A15,'Daily Plan'!$A:$A,CL$1)</f>
        <v/>
      </c>
      <c r="CM15" s="47">
        <f>SUMIFS('Daily Plan'!$H:$H,'Daily Plan'!$C:$C,$A15,'Daily Plan'!$A:$A,CM$1)</f>
        <v/>
      </c>
      <c r="CN15" s="47">
        <f>SUMIFS('Daily Plan'!$H:$H,'Daily Plan'!$C:$C,$A15,'Daily Plan'!$A:$A,CN$1)</f>
        <v/>
      </c>
      <c r="CO15" s="48">
        <f>SUMIFS('Daily Plan'!$H:$H,'Daily Plan'!$C:$C,$A15,'Daily Plan'!$A:$A,CO$1)</f>
        <v/>
      </c>
      <c r="CP15" s="48">
        <f>SUMIFS('Daily Plan'!$H:$H,'Daily Plan'!$C:$C,$A15,'Daily Plan'!$A:$A,CP$1)</f>
        <v/>
      </c>
      <c r="CQ15" s="47">
        <f>SUMIFS('Daily Plan'!$H:$H,'Daily Plan'!$C:$C,$A15,'Daily Plan'!$A:$A,CQ$1)</f>
        <v/>
      </c>
      <c r="CR15" s="47">
        <f>SUMIFS('Daily Plan'!$H:$H,'Daily Plan'!$C:$C,$A15,'Daily Plan'!$A:$A,CR$1)</f>
        <v/>
      </c>
      <c r="CS15" s="47">
        <f>SUMIFS('Daily Plan'!$H:$H,'Daily Plan'!$C:$C,$A15,'Daily Plan'!$A:$A,CS$1)</f>
        <v/>
      </c>
      <c r="CT15" s="47">
        <f>SUMIFS('Daily Plan'!$H:$H,'Daily Plan'!$C:$C,$A15,'Daily Plan'!$A:$A,CT$1)</f>
        <v/>
      </c>
      <c r="CU15" s="47">
        <f>SUMIFS('Daily Plan'!$H:$H,'Daily Plan'!$C:$C,$A15,'Daily Plan'!$A:$A,CU$1)</f>
        <v/>
      </c>
      <c r="CV15" s="48">
        <f>SUMIFS('Daily Plan'!$H:$H,'Daily Plan'!$C:$C,$A15,'Daily Plan'!$A:$A,CV$1)</f>
        <v/>
      </c>
      <c r="CW15" s="48">
        <f>SUMIFS('Daily Plan'!$H:$H,'Daily Plan'!$C:$C,$A15,'Daily Plan'!$A:$A,CW$1)</f>
        <v/>
      </c>
      <c r="CX15" s="47">
        <f>SUMIFS('Daily Plan'!$H:$H,'Daily Plan'!$C:$C,$A15,'Daily Plan'!$A:$A,CX$1)</f>
        <v/>
      </c>
      <c r="CY15" s="47">
        <f>SUMIFS('Daily Plan'!$H:$H,'Daily Plan'!$C:$C,$A15,'Daily Plan'!$A:$A,CY$1)</f>
        <v/>
      </c>
      <c r="CZ15" s="47">
        <f>SUMIFS('Daily Plan'!$H:$H,'Daily Plan'!$C:$C,$A15,'Daily Plan'!$A:$A,CZ$1)</f>
        <v/>
      </c>
      <c r="DA15" s="47">
        <f>SUMIFS('Daily Plan'!$H:$H,'Daily Plan'!$C:$C,$A15,'Daily Plan'!$A:$A,DA$1)</f>
        <v/>
      </c>
      <c r="DB15" s="47">
        <f>SUMIFS('Daily Plan'!$H:$H,'Daily Plan'!$C:$C,$A15,'Daily Plan'!$A:$A,DB$1)</f>
        <v/>
      </c>
      <c r="DC15" s="48">
        <f>SUMIFS('Daily Plan'!$H:$H,'Daily Plan'!$C:$C,$A15,'Daily Plan'!$A:$A,DC$1)</f>
        <v/>
      </c>
      <c r="DD15" s="48">
        <f>SUMIFS('Daily Plan'!$H:$H,'Daily Plan'!$C:$C,$A15,'Daily Plan'!$A:$A,DD$1)</f>
        <v/>
      </c>
      <c r="DE15" s="47">
        <f>SUMIFS('Daily Plan'!$H:$H,'Daily Plan'!$C:$C,$A15,'Daily Plan'!$A:$A,DE$1)</f>
        <v/>
      </c>
      <c r="DF15" s="47">
        <f>SUMIFS('Daily Plan'!$H:$H,'Daily Plan'!$C:$C,$A15,'Daily Plan'!$A:$A,DF$1)</f>
        <v/>
      </c>
      <c r="DG15" s="47">
        <f>SUMIFS('Daily Plan'!$H:$H,'Daily Plan'!$C:$C,$A15,'Daily Plan'!$A:$A,DG$1)</f>
        <v/>
      </c>
      <c r="DH15" s="47">
        <f>SUMIFS('Daily Plan'!$H:$H,'Daily Plan'!$C:$C,$A15,'Daily Plan'!$A:$A,DH$1)</f>
        <v/>
      </c>
      <c r="DI15" s="47">
        <f>SUMIFS('Daily Plan'!$H:$H,'Daily Plan'!$C:$C,$A15,'Daily Plan'!$A:$A,DI$1)</f>
        <v/>
      </c>
      <c r="DJ15" s="48">
        <f>SUMIFS('Daily Plan'!$H:$H,'Daily Plan'!$C:$C,$A15,'Daily Plan'!$A:$A,DJ$1)</f>
        <v/>
      </c>
      <c r="DK15" s="48">
        <f>SUMIFS('Daily Plan'!$H:$H,'Daily Plan'!$C:$C,$A15,'Daily Plan'!$A:$A,DK$1)</f>
        <v/>
      </c>
      <c r="DL15" s="47">
        <f>SUMIFS('Daily Plan'!$H:$H,'Daily Plan'!$C:$C,$A15,'Daily Plan'!$A:$A,DL$1)</f>
        <v/>
      </c>
      <c r="DM15" s="47">
        <f>SUMIFS('Daily Plan'!$H:$H,'Daily Plan'!$C:$C,$A15,'Daily Plan'!$A:$A,DM$1)</f>
        <v/>
      </c>
      <c r="DN15" s="47">
        <f>SUMIFS('Daily Plan'!$H:$H,'Daily Plan'!$C:$C,$A15,'Daily Plan'!$A:$A,DN$1)</f>
        <v/>
      </c>
      <c r="DO15" s="47">
        <f>SUMIFS('Daily Plan'!$H:$H,'Daily Plan'!$C:$C,$A15,'Daily Plan'!$A:$A,DO$1)</f>
        <v/>
      </c>
      <c r="DP15" s="47">
        <f>SUMIFS('Daily Plan'!$H:$H,'Daily Plan'!$C:$C,$A15,'Daily Plan'!$A:$A,DP$1)</f>
        <v/>
      </c>
      <c r="DQ15" s="48">
        <f>SUMIFS('Daily Plan'!$H:$H,'Daily Plan'!$C:$C,$A15,'Daily Plan'!$A:$A,DQ$1)</f>
        <v/>
      </c>
      <c r="DR15" s="48">
        <f>SUMIFS('Daily Plan'!$H:$H,'Daily Plan'!$C:$C,$A15,'Daily Plan'!$A:$A,DR$1)</f>
        <v/>
      </c>
      <c r="DS15" s="47">
        <f>SUMIFS('Daily Plan'!$H:$H,'Daily Plan'!$C:$C,$A15,'Daily Plan'!$A:$A,DS$1)</f>
        <v/>
      </c>
      <c r="DT15" s="47">
        <f>SUMIFS('Daily Plan'!$H:$H,'Daily Plan'!$C:$C,$A15,'Daily Plan'!$A:$A,DT$1)</f>
        <v/>
      </c>
      <c r="DU15" s="47">
        <f>SUMIFS('Daily Plan'!$H:$H,'Daily Plan'!$C:$C,$A15,'Daily Plan'!$A:$A,DU$1)</f>
        <v/>
      </c>
      <c r="DV15" s="47">
        <f>SUMIFS('Daily Plan'!$H:$H,'Daily Plan'!$C:$C,$A15,'Daily Plan'!$A:$A,DV$1)</f>
        <v/>
      </c>
      <c r="DW15" s="47">
        <f>SUMIFS('Daily Plan'!$H:$H,'Daily Plan'!$C:$C,$A15,'Daily Plan'!$A:$A,DW$1)</f>
        <v/>
      </c>
      <c r="DX15" s="48">
        <f>SUMIFS('Daily Plan'!$H:$H,'Daily Plan'!$C:$C,$A15,'Daily Plan'!$A:$A,DX$1)</f>
        <v/>
      </c>
      <c r="DY15" s="48">
        <f>SUMIFS('Daily Plan'!$H:$H,'Daily Plan'!$C:$C,$A15,'Daily Plan'!$A:$A,DY$1)</f>
        <v/>
      </c>
      <c r="DZ15" s="47">
        <f>SUMIFS('Daily Plan'!$H:$H,'Daily Plan'!$C:$C,$A15,'Daily Plan'!$A:$A,DZ$1)</f>
        <v/>
      </c>
      <c r="EA15" s="47">
        <f>SUMIFS('Daily Plan'!$H:$H,'Daily Plan'!$C:$C,$A15,'Daily Plan'!$A:$A,EA$1)</f>
        <v/>
      </c>
      <c r="EB15" s="47">
        <f>SUMIFS('Daily Plan'!$H:$H,'Daily Plan'!$C:$C,$A15,'Daily Plan'!$A:$A,EB$1)</f>
        <v/>
      </c>
      <c r="EC15" s="47">
        <f>SUMIFS('Daily Plan'!$H:$H,'Daily Plan'!$C:$C,$A15,'Daily Plan'!$A:$A,EC$1)</f>
        <v/>
      </c>
      <c r="ED15" s="47">
        <f>SUMIFS('Daily Plan'!$H:$H,'Daily Plan'!$C:$C,$A15,'Daily Plan'!$A:$A,ED$1)</f>
        <v/>
      </c>
      <c r="EE15" s="48">
        <f>SUMIFS('Daily Plan'!$H:$H,'Daily Plan'!$C:$C,$A15,'Daily Plan'!$A:$A,EE$1)</f>
        <v/>
      </c>
      <c r="EF15" s="48">
        <f>SUMIFS('Daily Plan'!$H:$H,'Daily Plan'!$C:$C,$A15,'Daily Plan'!$A:$A,EF$1)</f>
        <v/>
      </c>
      <c r="EG15" s="47">
        <f>SUMIFS('Daily Plan'!$H:$H,'Daily Plan'!$C:$C,$A15,'Daily Plan'!$A:$A,EG$1)</f>
        <v/>
      </c>
      <c r="EH15" s="47">
        <f>SUMIFS('Daily Plan'!$H:$H,'Daily Plan'!$C:$C,$A15,'Daily Plan'!$A:$A,EH$1)</f>
        <v/>
      </c>
      <c r="EI15" s="47">
        <f>SUMIFS('Daily Plan'!$H:$H,'Daily Plan'!$C:$C,$A15,'Daily Plan'!$A:$A,EI$1)</f>
        <v/>
      </c>
      <c r="EJ15" s="47">
        <f>SUMIFS('Daily Plan'!$H:$H,'Daily Plan'!$C:$C,$A15,'Daily Plan'!$A:$A,EJ$1)</f>
        <v/>
      </c>
      <c r="EK15" s="47">
        <f>SUMIFS('Daily Plan'!$H:$H,'Daily Plan'!$C:$C,$A15,'Daily Plan'!$A:$A,EK$1)</f>
        <v/>
      </c>
      <c r="EL15" s="48">
        <f>SUMIFS('Daily Plan'!$H:$H,'Daily Plan'!$C:$C,$A15,'Daily Plan'!$A:$A,EL$1)</f>
        <v/>
      </c>
      <c r="EM15" s="48">
        <f>SUMIFS('Daily Plan'!$H:$H,'Daily Plan'!$C:$C,$A15,'Daily Plan'!$A:$A,EM$1)</f>
        <v/>
      </c>
      <c r="EN15" s="47">
        <f>SUMIFS('Daily Plan'!$H:$H,'Daily Plan'!$C:$C,$A15,'Daily Plan'!$A:$A,EN$1)</f>
        <v/>
      </c>
      <c r="EO15" s="47">
        <f>SUMIFS('Daily Plan'!$H:$H,'Daily Plan'!$C:$C,$A15,'Daily Plan'!$A:$A,EO$1)</f>
        <v/>
      </c>
      <c r="EP15" s="47">
        <f>SUMIFS('Daily Plan'!$H:$H,'Daily Plan'!$C:$C,$A15,'Daily Plan'!$A:$A,EP$1)</f>
        <v/>
      </c>
      <c r="EQ15" s="47">
        <f>SUMIFS('Daily Plan'!$H:$H,'Daily Plan'!$C:$C,$A15,'Daily Plan'!$A:$A,EQ$1)</f>
        <v/>
      </c>
      <c r="ER15" s="47">
        <f>SUMIFS('Daily Plan'!$H:$H,'Daily Plan'!$C:$C,$A15,'Daily Plan'!$A:$A,ER$1)</f>
        <v/>
      </c>
      <c r="ES15" s="48">
        <f>SUMIFS('Daily Plan'!$H:$H,'Daily Plan'!$C:$C,$A15,'Daily Plan'!$A:$A,ES$1)</f>
        <v/>
      </c>
      <c r="ET15" s="48">
        <f>SUMIFS('Daily Plan'!$H:$H,'Daily Plan'!$C:$C,$A15,'Daily Plan'!$A:$A,ET$1)</f>
        <v/>
      </c>
      <c r="EU15" s="47">
        <f>SUMIFS('Daily Plan'!$H:$H,'Daily Plan'!$C:$C,$A15,'Daily Plan'!$A:$A,EU$1)</f>
        <v/>
      </c>
      <c r="EV15" s="47">
        <f>SUMIFS('Daily Plan'!$H:$H,'Daily Plan'!$C:$C,$A15,'Daily Plan'!$A:$A,EV$1)</f>
        <v/>
      </c>
      <c r="EW15" s="47">
        <f>SUMIFS('Daily Plan'!$H:$H,'Daily Plan'!$C:$C,$A15,'Daily Plan'!$A:$A,EW$1)</f>
        <v/>
      </c>
      <c r="EX15" s="47">
        <f>SUMIFS('Daily Plan'!$H:$H,'Daily Plan'!$C:$C,$A15,'Daily Plan'!$A:$A,EX$1)</f>
        <v/>
      </c>
      <c r="EY15" s="47">
        <f>SUMIFS('Daily Plan'!$H:$H,'Daily Plan'!$C:$C,$A15,'Daily Plan'!$A:$A,EY$1)</f>
        <v/>
      </c>
      <c r="EZ15" s="48">
        <f>SUMIFS('Daily Plan'!$H:$H,'Daily Plan'!$C:$C,$A15,'Daily Plan'!$A:$A,EZ$1)</f>
        <v/>
      </c>
      <c r="FA15" s="48">
        <f>SUMIFS('Daily Plan'!$H:$H,'Daily Plan'!$C:$C,$A15,'Daily Plan'!$A:$A,FA$1)</f>
        <v/>
      </c>
      <c r="FB15" s="47">
        <f>SUMIFS('Daily Plan'!$H:$H,'Daily Plan'!$C:$C,$A15,'Daily Plan'!$A:$A,FB$1)</f>
        <v/>
      </c>
      <c r="FC15" s="47">
        <f>SUMIFS('Daily Plan'!$H:$H,'Daily Plan'!$C:$C,$A15,'Daily Plan'!$A:$A,FC$1)</f>
        <v/>
      </c>
      <c r="FD15" s="47">
        <f>SUMIFS('Daily Plan'!$H:$H,'Daily Plan'!$C:$C,$A15,'Daily Plan'!$A:$A,FD$1)</f>
        <v/>
      </c>
      <c r="FE15" s="47">
        <f>SUMIFS('Daily Plan'!$H:$H,'Daily Plan'!$C:$C,$A15,'Daily Plan'!$A:$A,FE$1)</f>
        <v/>
      </c>
      <c r="FF15" s="47">
        <f>SUMIFS('Daily Plan'!$H:$H,'Daily Plan'!$C:$C,$A15,'Daily Plan'!$A:$A,FF$1)</f>
        <v/>
      </c>
      <c r="FG15" s="48">
        <f>SUMIFS('Daily Plan'!$H:$H,'Daily Plan'!$C:$C,$A15,'Daily Plan'!$A:$A,FG$1)</f>
        <v/>
      </c>
      <c r="FH15" s="48">
        <f>SUMIFS('Daily Plan'!$H:$H,'Daily Plan'!$C:$C,$A15,'Daily Plan'!$A:$A,FH$1)</f>
        <v/>
      </c>
      <c r="FI15" s="47">
        <f>SUMIFS('Daily Plan'!$H:$H,'Daily Plan'!$C:$C,$A15,'Daily Plan'!$A:$A,FI$1)</f>
        <v/>
      </c>
      <c r="FJ15" s="47">
        <f>SUMIFS('Daily Plan'!$H:$H,'Daily Plan'!$C:$C,$A15,'Daily Plan'!$A:$A,FJ$1)</f>
        <v/>
      </c>
      <c r="FK15" s="47">
        <f>SUMIFS('Daily Plan'!$H:$H,'Daily Plan'!$C:$C,$A15,'Daily Plan'!$A:$A,FK$1)</f>
        <v/>
      </c>
      <c r="FL15" s="47">
        <f>SUMIFS('Daily Plan'!$H:$H,'Daily Plan'!$C:$C,$A15,'Daily Plan'!$A:$A,FL$1)</f>
        <v/>
      </c>
      <c r="FM15" s="47">
        <f>SUMIFS('Daily Plan'!$H:$H,'Daily Plan'!$C:$C,$A15,'Daily Plan'!$A:$A,FM$1)</f>
        <v/>
      </c>
      <c r="FN15" s="48">
        <f>SUMIFS('Daily Plan'!$H:$H,'Daily Plan'!$C:$C,$A15,'Daily Plan'!$A:$A,FN$1)</f>
        <v/>
      </c>
      <c r="FO15" s="48">
        <f>SUMIFS('Daily Plan'!$H:$H,'Daily Plan'!$C:$C,$A15,'Daily Plan'!$A:$A,FO$1)</f>
        <v/>
      </c>
      <c r="FP15" s="47">
        <f>SUMIFS('Daily Plan'!$H:$H,'Daily Plan'!$C:$C,$A15,'Daily Plan'!$A:$A,FP$1)</f>
        <v/>
      </c>
      <c r="FQ15" s="47">
        <f>SUMIFS('Daily Plan'!$H:$H,'Daily Plan'!$C:$C,$A15,'Daily Plan'!$A:$A,FQ$1)</f>
        <v/>
      </c>
      <c r="FR15" s="47">
        <f>SUMIFS('Daily Plan'!$H:$H,'Daily Plan'!$C:$C,$A15,'Daily Plan'!$A:$A,FR$1)</f>
        <v/>
      </c>
      <c r="FS15" s="47">
        <f>SUMIFS('Daily Plan'!$H:$H,'Daily Plan'!$C:$C,$A15,'Daily Plan'!$A:$A,FS$1)</f>
        <v/>
      </c>
    </row>
    <row r="16">
      <c r="A16" s="23" t="inlineStr">
        <is>
          <t>CDP-3</t>
        </is>
      </c>
      <c r="B16" s="23" t="inlineStr">
        <is>
          <t>代码设计</t>
        </is>
      </c>
      <c r="C16" s="2" t="inlineStr">
        <is>
          <t>死代码与注释块清理</t>
        </is>
      </c>
      <c r="D16" s="43" t="n"/>
      <c r="E16" s="43" t="n"/>
      <c r="F16" s="23" t="inlineStr">
        <is>
          <t>done</t>
        </is>
      </c>
      <c r="G16" s="44">
        <f>SUMIF('Daily Plan'!$C:$C,A16,'Daily Plan'!$H:$H)</f>
        <v/>
      </c>
      <c r="H16" s="44">
        <f>SUMIF('Daily Plan'!$C:$C,A16,'Daily Plan'!$I:$I)</f>
        <v/>
      </c>
      <c r="I16" s="44">
        <f>MAX(G16-H16,0)</f>
        <v/>
      </c>
      <c r="J16" s="25">
        <f>IF(G16=0,IF(F16="done",1,0),H16/G16)</f>
        <v/>
      </c>
      <c r="K16" s="2" t="inlineStr">
        <is>
          <t>无</t>
        </is>
      </c>
      <c r="L16" s="2" t="inlineStr">
        <is>
          <t>已完成，无新增计划工时</t>
        </is>
      </c>
      <c r="M16" s="47">
        <f>SUMIFS('Daily Plan'!$H:$H,'Daily Plan'!$C:$C,$A16,'Daily Plan'!$A:$A,M$1)</f>
        <v/>
      </c>
      <c r="N16" s="47">
        <f>SUMIFS('Daily Plan'!$H:$H,'Daily Plan'!$C:$C,$A16,'Daily Plan'!$A:$A,N$1)</f>
        <v/>
      </c>
      <c r="O16" s="47">
        <f>SUMIFS('Daily Plan'!$H:$H,'Daily Plan'!$C:$C,$A16,'Daily Plan'!$A:$A,O$1)</f>
        <v/>
      </c>
      <c r="P16" s="48">
        <f>SUMIFS('Daily Plan'!$H:$H,'Daily Plan'!$C:$C,$A16,'Daily Plan'!$A:$A,P$1)</f>
        <v/>
      </c>
      <c r="Q16" s="48">
        <f>SUMIFS('Daily Plan'!$H:$H,'Daily Plan'!$C:$C,$A16,'Daily Plan'!$A:$A,Q$1)</f>
        <v/>
      </c>
      <c r="R16" s="47">
        <f>SUMIFS('Daily Plan'!$H:$H,'Daily Plan'!$C:$C,$A16,'Daily Plan'!$A:$A,R$1)</f>
        <v/>
      </c>
      <c r="S16" s="47">
        <f>SUMIFS('Daily Plan'!$H:$H,'Daily Plan'!$C:$C,$A16,'Daily Plan'!$A:$A,S$1)</f>
        <v/>
      </c>
      <c r="T16" s="47">
        <f>SUMIFS('Daily Plan'!$H:$H,'Daily Plan'!$C:$C,$A16,'Daily Plan'!$A:$A,T$1)</f>
        <v/>
      </c>
      <c r="U16" s="47">
        <f>SUMIFS('Daily Plan'!$H:$H,'Daily Plan'!$C:$C,$A16,'Daily Plan'!$A:$A,U$1)</f>
        <v/>
      </c>
      <c r="V16" s="47">
        <f>SUMIFS('Daily Plan'!$H:$H,'Daily Plan'!$C:$C,$A16,'Daily Plan'!$A:$A,V$1)</f>
        <v/>
      </c>
      <c r="W16" s="48">
        <f>SUMIFS('Daily Plan'!$H:$H,'Daily Plan'!$C:$C,$A16,'Daily Plan'!$A:$A,W$1)</f>
        <v/>
      </c>
      <c r="X16" s="48">
        <f>SUMIFS('Daily Plan'!$H:$H,'Daily Plan'!$C:$C,$A16,'Daily Plan'!$A:$A,X$1)</f>
        <v/>
      </c>
      <c r="Y16" s="47">
        <f>SUMIFS('Daily Plan'!$H:$H,'Daily Plan'!$C:$C,$A16,'Daily Plan'!$A:$A,Y$1)</f>
        <v/>
      </c>
      <c r="Z16" s="47">
        <f>SUMIFS('Daily Plan'!$H:$H,'Daily Plan'!$C:$C,$A16,'Daily Plan'!$A:$A,Z$1)</f>
        <v/>
      </c>
      <c r="AA16" s="47">
        <f>SUMIFS('Daily Plan'!$H:$H,'Daily Plan'!$C:$C,$A16,'Daily Plan'!$A:$A,AA$1)</f>
        <v/>
      </c>
      <c r="AB16" s="47">
        <f>SUMIFS('Daily Plan'!$H:$H,'Daily Plan'!$C:$C,$A16,'Daily Plan'!$A:$A,AB$1)</f>
        <v/>
      </c>
      <c r="AC16" s="47">
        <f>SUMIFS('Daily Plan'!$H:$H,'Daily Plan'!$C:$C,$A16,'Daily Plan'!$A:$A,AC$1)</f>
        <v/>
      </c>
      <c r="AD16" s="48">
        <f>SUMIFS('Daily Plan'!$H:$H,'Daily Plan'!$C:$C,$A16,'Daily Plan'!$A:$A,AD$1)</f>
        <v/>
      </c>
      <c r="AE16" s="48">
        <f>SUMIFS('Daily Plan'!$H:$H,'Daily Plan'!$C:$C,$A16,'Daily Plan'!$A:$A,AE$1)</f>
        <v/>
      </c>
      <c r="AF16" s="47">
        <f>SUMIFS('Daily Plan'!$H:$H,'Daily Plan'!$C:$C,$A16,'Daily Plan'!$A:$A,AF$1)</f>
        <v/>
      </c>
      <c r="AG16" s="47">
        <f>SUMIFS('Daily Plan'!$H:$H,'Daily Plan'!$C:$C,$A16,'Daily Plan'!$A:$A,AG$1)</f>
        <v/>
      </c>
      <c r="AH16" s="47">
        <f>SUMIFS('Daily Plan'!$H:$H,'Daily Plan'!$C:$C,$A16,'Daily Plan'!$A:$A,AH$1)</f>
        <v/>
      </c>
      <c r="AI16" s="47">
        <f>SUMIFS('Daily Plan'!$H:$H,'Daily Plan'!$C:$C,$A16,'Daily Plan'!$A:$A,AI$1)</f>
        <v/>
      </c>
      <c r="AJ16" s="47">
        <f>SUMIFS('Daily Plan'!$H:$H,'Daily Plan'!$C:$C,$A16,'Daily Plan'!$A:$A,AJ$1)</f>
        <v/>
      </c>
      <c r="AK16" s="48">
        <f>SUMIFS('Daily Plan'!$H:$H,'Daily Plan'!$C:$C,$A16,'Daily Plan'!$A:$A,AK$1)</f>
        <v/>
      </c>
      <c r="AL16" s="48">
        <f>SUMIFS('Daily Plan'!$H:$H,'Daily Plan'!$C:$C,$A16,'Daily Plan'!$A:$A,AL$1)</f>
        <v/>
      </c>
      <c r="AM16" s="47">
        <f>SUMIFS('Daily Plan'!$H:$H,'Daily Plan'!$C:$C,$A16,'Daily Plan'!$A:$A,AM$1)</f>
        <v/>
      </c>
      <c r="AN16" s="47">
        <f>SUMIFS('Daily Plan'!$H:$H,'Daily Plan'!$C:$C,$A16,'Daily Plan'!$A:$A,AN$1)</f>
        <v/>
      </c>
      <c r="AO16" s="47">
        <f>SUMIFS('Daily Plan'!$H:$H,'Daily Plan'!$C:$C,$A16,'Daily Plan'!$A:$A,AO$1)</f>
        <v/>
      </c>
      <c r="AP16" s="47">
        <f>SUMIFS('Daily Plan'!$H:$H,'Daily Plan'!$C:$C,$A16,'Daily Plan'!$A:$A,AP$1)</f>
        <v/>
      </c>
      <c r="AQ16" s="47">
        <f>SUMIFS('Daily Plan'!$H:$H,'Daily Plan'!$C:$C,$A16,'Daily Plan'!$A:$A,AQ$1)</f>
        <v/>
      </c>
      <c r="AR16" s="48">
        <f>SUMIFS('Daily Plan'!$H:$H,'Daily Plan'!$C:$C,$A16,'Daily Plan'!$A:$A,AR$1)</f>
        <v/>
      </c>
      <c r="AS16" s="48">
        <f>SUMIFS('Daily Plan'!$H:$H,'Daily Plan'!$C:$C,$A16,'Daily Plan'!$A:$A,AS$1)</f>
        <v/>
      </c>
      <c r="AT16" s="47">
        <f>SUMIFS('Daily Plan'!$H:$H,'Daily Plan'!$C:$C,$A16,'Daily Plan'!$A:$A,AT$1)</f>
        <v/>
      </c>
      <c r="AU16" s="47">
        <f>SUMIFS('Daily Plan'!$H:$H,'Daily Plan'!$C:$C,$A16,'Daily Plan'!$A:$A,AU$1)</f>
        <v/>
      </c>
      <c r="AV16" s="47">
        <f>SUMIFS('Daily Plan'!$H:$H,'Daily Plan'!$C:$C,$A16,'Daily Plan'!$A:$A,AV$1)</f>
        <v/>
      </c>
      <c r="AW16" s="47">
        <f>SUMIFS('Daily Plan'!$H:$H,'Daily Plan'!$C:$C,$A16,'Daily Plan'!$A:$A,AW$1)</f>
        <v/>
      </c>
      <c r="AX16" s="47">
        <f>SUMIFS('Daily Plan'!$H:$H,'Daily Plan'!$C:$C,$A16,'Daily Plan'!$A:$A,AX$1)</f>
        <v/>
      </c>
      <c r="AY16" s="48">
        <f>SUMIFS('Daily Plan'!$H:$H,'Daily Plan'!$C:$C,$A16,'Daily Plan'!$A:$A,AY$1)</f>
        <v/>
      </c>
      <c r="AZ16" s="48">
        <f>SUMIFS('Daily Plan'!$H:$H,'Daily Plan'!$C:$C,$A16,'Daily Plan'!$A:$A,AZ$1)</f>
        <v/>
      </c>
      <c r="BA16" s="47">
        <f>SUMIFS('Daily Plan'!$H:$H,'Daily Plan'!$C:$C,$A16,'Daily Plan'!$A:$A,BA$1)</f>
        <v/>
      </c>
      <c r="BB16" s="47">
        <f>SUMIFS('Daily Plan'!$H:$H,'Daily Plan'!$C:$C,$A16,'Daily Plan'!$A:$A,BB$1)</f>
        <v/>
      </c>
      <c r="BC16" s="47">
        <f>SUMIFS('Daily Plan'!$H:$H,'Daily Plan'!$C:$C,$A16,'Daily Plan'!$A:$A,BC$1)</f>
        <v/>
      </c>
      <c r="BD16" s="47">
        <f>SUMIFS('Daily Plan'!$H:$H,'Daily Plan'!$C:$C,$A16,'Daily Plan'!$A:$A,BD$1)</f>
        <v/>
      </c>
      <c r="BE16" s="47">
        <f>SUMIFS('Daily Plan'!$H:$H,'Daily Plan'!$C:$C,$A16,'Daily Plan'!$A:$A,BE$1)</f>
        <v/>
      </c>
      <c r="BF16" s="48">
        <f>SUMIFS('Daily Plan'!$H:$H,'Daily Plan'!$C:$C,$A16,'Daily Plan'!$A:$A,BF$1)</f>
        <v/>
      </c>
      <c r="BG16" s="48">
        <f>SUMIFS('Daily Plan'!$H:$H,'Daily Plan'!$C:$C,$A16,'Daily Plan'!$A:$A,BG$1)</f>
        <v/>
      </c>
      <c r="BH16" s="47">
        <f>SUMIFS('Daily Plan'!$H:$H,'Daily Plan'!$C:$C,$A16,'Daily Plan'!$A:$A,BH$1)</f>
        <v/>
      </c>
      <c r="BI16" s="47">
        <f>SUMIFS('Daily Plan'!$H:$H,'Daily Plan'!$C:$C,$A16,'Daily Plan'!$A:$A,BI$1)</f>
        <v/>
      </c>
      <c r="BJ16" s="47">
        <f>SUMIFS('Daily Plan'!$H:$H,'Daily Plan'!$C:$C,$A16,'Daily Plan'!$A:$A,BJ$1)</f>
        <v/>
      </c>
      <c r="BK16" s="47">
        <f>SUMIFS('Daily Plan'!$H:$H,'Daily Plan'!$C:$C,$A16,'Daily Plan'!$A:$A,BK$1)</f>
        <v/>
      </c>
      <c r="BL16" s="47">
        <f>SUMIFS('Daily Plan'!$H:$H,'Daily Plan'!$C:$C,$A16,'Daily Plan'!$A:$A,BL$1)</f>
        <v/>
      </c>
      <c r="BM16" s="48">
        <f>SUMIFS('Daily Plan'!$H:$H,'Daily Plan'!$C:$C,$A16,'Daily Plan'!$A:$A,BM$1)</f>
        <v/>
      </c>
      <c r="BN16" s="48">
        <f>SUMIFS('Daily Plan'!$H:$H,'Daily Plan'!$C:$C,$A16,'Daily Plan'!$A:$A,BN$1)</f>
        <v/>
      </c>
      <c r="BO16" s="47">
        <f>SUMIFS('Daily Plan'!$H:$H,'Daily Plan'!$C:$C,$A16,'Daily Plan'!$A:$A,BO$1)</f>
        <v/>
      </c>
      <c r="BP16" s="47">
        <f>SUMIFS('Daily Plan'!$H:$H,'Daily Plan'!$C:$C,$A16,'Daily Plan'!$A:$A,BP$1)</f>
        <v/>
      </c>
      <c r="BQ16" s="47">
        <f>SUMIFS('Daily Plan'!$H:$H,'Daily Plan'!$C:$C,$A16,'Daily Plan'!$A:$A,BQ$1)</f>
        <v/>
      </c>
      <c r="BR16" s="47">
        <f>SUMIFS('Daily Plan'!$H:$H,'Daily Plan'!$C:$C,$A16,'Daily Plan'!$A:$A,BR$1)</f>
        <v/>
      </c>
      <c r="BS16" s="47">
        <f>SUMIFS('Daily Plan'!$H:$H,'Daily Plan'!$C:$C,$A16,'Daily Plan'!$A:$A,BS$1)</f>
        <v/>
      </c>
      <c r="BT16" s="48">
        <f>SUMIFS('Daily Plan'!$H:$H,'Daily Plan'!$C:$C,$A16,'Daily Plan'!$A:$A,BT$1)</f>
        <v/>
      </c>
      <c r="BU16" s="48">
        <f>SUMIFS('Daily Plan'!$H:$H,'Daily Plan'!$C:$C,$A16,'Daily Plan'!$A:$A,BU$1)</f>
        <v/>
      </c>
      <c r="BV16" s="47">
        <f>SUMIFS('Daily Plan'!$H:$H,'Daily Plan'!$C:$C,$A16,'Daily Plan'!$A:$A,BV$1)</f>
        <v/>
      </c>
      <c r="BW16" s="47">
        <f>SUMIFS('Daily Plan'!$H:$H,'Daily Plan'!$C:$C,$A16,'Daily Plan'!$A:$A,BW$1)</f>
        <v/>
      </c>
      <c r="BX16" s="47">
        <f>SUMIFS('Daily Plan'!$H:$H,'Daily Plan'!$C:$C,$A16,'Daily Plan'!$A:$A,BX$1)</f>
        <v/>
      </c>
      <c r="BY16" s="47">
        <f>SUMIFS('Daily Plan'!$H:$H,'Daily Plan'!$C:$C,$A16,'Daily Plan'!$A:$A,BY$1)</f>
        <v/>
      </c>
      <c r="BZ16" s="47">
        <f>SUMIFS('Daily Plan'!$H:$H,'Daily Plan'!$C:$C,$A16,'Daily Plan'!$A:$A,BZ$1)</f>
        <v/>
      </c>
      <c r="CA16" s="48">
        <f>SUMIFS('Daily Plan'!$H:$H,'Daily Plan'!$C:$C,$A16,'Daily Plan'!$A:$A,CA$1)</f>
        <v/>
      </c>
      <c r="CB16" s="48">
        <f>SUMIFS('Daily Plan'!$H:$H,'Daily Plan'!$C:$C,$A16,'Daily Plan'!$A:$A,CB$1)</f>
        <v/>
      </c>
      <c r="CC16" s="47">
        <f>SUMIFS('Daily Plan'!$H:$H,'Daily Plan'!$C:$C,$A16,'Daily Plan'!$A:$A,CC$1)</f>
        <v/>
      </c>
      <c r="CD16" s="47">
        <f>SUMIFS('Daily Plan'!$H:$H,'Daily Plan'!$C:$C,$A16,'Daily Plan'!$A:$A,CD$1)</f>
        <v/>
      </c>
      <c r="CE16" s="47">
        <f>SUMIFS('Daily Plan'!$H:$H,'Daily Plan'!$C:$C,$A16,'Daily Plan'!$A:$A,CE$1)</f>
        <v/>
      </c>
      <c r="CF16" s="47">
        <f>SUMIFS('Daily Plan'!$H:$H,'Daily Plan'!$C:$C,$A16,'Daily Plan'!$A:$A,CF$1)</f>
        <v/>
      </c>
      <c r="CG16" s="47">
        <f>SUMIFS('Daily Plan'!$H:$H,'Daily Plan'!$C:$C,$A16,'Daily Plan'!$A:$A,CG$1)</f>
        <v/>
      </c>
      <c r="CH16" s="48">
        <f>SUMIFS('Daily Plan'!$H:$H,'Daily Plan'!$C:$C,$A16,'Daily Plan'!$A:$A,CH$1)</f>
        <v/>
      </c>
      <c r="CI16" s="48">
        <f>SUMIFS('Daily Plan'!$H:$H,'Daily Plan'!$C:$C,$A16,'Daily Plan'!$A:$A,CI$1)</f>
        <v/>
      </c>
      <c r="CJ16" s="47">
        <f>SUMIFS('Daily Plan'!$H:$H,'Daily Plan'!$C:$C,$A16,'Daily Plan'!$A:$A,CJ$1)</f>
        <v/>
      </c>
      <c r="CK16" s="47">
        <f>SUMIFS('Daily Plan'!$H:$H,'Daily Plan'!$C:$C,$A16,'Daily Plan'!$A:$A,CK$1)</f>
        <v/>
      </c>
      <c r="CL16" s="47">
        <f>SUMIFS('Daily Plan'!$H:$H,'Daily Plan'!$C:$C,$A16,'Daily Plan'!$A:$A,CL$1)</f>
        <v/>
      </c>
      <c r="CM16" s="47">
        <f>SUMIFS('Daily Plan'!$H:$H,'Daily Plan'!$C:$C,$A16,'Daily Plan'!$A:$A,CM$1)</f>
        <v/>
      </c>
      <c r="CN16" s="47">
        <f>SUMIFS('Daily Plan'!$H:$H,'Daily Plan'!$C:$C,$A16,'Daily Plan'!$A:$A,CN$1)</f>
        <v/>
      </c>
      <c r="CO16" s="48">
        <f>SUMIFS('Daily Plan'!$H:$H,'Daily Plan'!$C:$C,$A16,'Daily Plan'!$A:$A,CO$1)</f>
        <v/>
      </c>
      <c r="CP16" s="48">
        <f>SUMIFS('Daily Plan'!$H:$H,'Daily Plan'!$C:$C,$A16,'Daily Plan'!$A:$A,CP$1)</f>
        <v/>
      </c>
      <c r="CQ16" s="47">
        <f>SUMIFS('Daily Plan'!$H:$H,'Daily Plan'!$C:$C,$A16,'Daily Plan'!$A:$A,CQ$1)</f>
        <v/>
      </c>
      <c r="CR16" s="47">
        <f>SUMIFS('Daily Plan'!$H:$H,'Daily Plan'!$C:$C,$A16,'Daily Plan'!$A:$A,CR$1)</f>
        <v/>
      </c>
      <c r="CS16" s="47">
        <f>SUMIFS('Daily Plan'!$H:$H,'Daily Plan'!$C:$C,$A16,'Daily Plan'!$A:$A,CS$1)</f>
        <v/>
      </c>
      <c r="CT16" s="47">
        <f>SUMIFS('Daily Plan'!$H:$H,'Daily Plan'!$C:$C,$A16,'Daily Plan'!$A:$A,CT$1)</f>
        <v/>
      </c>
      <c r="CU16" s="47">
        <f>SUMIFS('Daily Plan'!$H:$H,'Daily Plan'!$C:$C,$A16,'Daily Plan'!$A:$A,CU$1)</f>
        <v/>
      </c>
      <c r="CV16" s="48">
        <f>SUMIFS('Daily Plan'!$H:$H,'Daily Plan'!$C:$C,$A16,'Daily Plan'!$A:$A,CV$1)</f>
        <v/>
      </c>
      <c r="CW16" s="48">
        <f>SUMIFS('Daily Plan'!$H:$H,'Daily Plan'!$C:$C,$A16,'Daily Plan'!$A:$A,CW$1)</f>
        <v/>
      </c>
      <c r="CX16" s="47">
        <f>SUMIFS('Daily Plan'!$H:$H,'Daily Plan'!$C:$C,$A16,'Daily Plan'!$A:$A,CX$1)</f>
        <v/>
      </c>
      <c r="CY16" s="47">
        <f>SUMIFS('Daily Plan'!$H:$H,'Daily Plan'!$C:$C,$A16,'Daily Plan'!$A:$A,CY$1)</f>
        <v/>
      </c>
      <c r="CZ16" s="47">
        <f>SUMIFS('Daily Plan'!$H:$H,'Daily Plan'!$C:$C,$A16,'Daily Plan'!$A:$A,CZ$1)</f>
        <v/>
      </c>
      <c r="DA16" s="47">
        <f>SUMIFS('Daily Plan'!$H:$H,'Daily Plan'!$C:$C,$A16,'Daily Plan'!$A:$A,DA$1)</f>
        <v/>
      </c>
      <c r="DB16" s="47">
        <f>SUMIFS('Daily Plan'!$H:$H,'Daily Plan'!$C:$C,$A16,'Daily Plan'!$A:$A,DB$1)</f>
        <v/>
      </c>
      <c r="DC16" s="48">
        <f>SUMIFS('Daily Plan'!$H:$H,'Daily Plan'!$C:$C,$A16,'Daily Plan'!$A:$A,DC$1)</f>
        <v/>
      </c>
      <c r="DD16" s="48">
        <f>SUMIFS('Daily Plan'!$H:$H,'Daily Plan'!$C:$C,$A16,'Daily Plan'!$A:$A,DD$1)</f>
        <v/>
      </c>
      <c r="DE16" s="47">
        <f>SUMIFS('Daily Plan'!$H:$H,'Daily Plan'!$C:$C,$A16,'Daily Plan'!$A:$A,DE$1)</f>
        <v/>
      </c>
      <c r="DF16" s="47">
        <f>SUMIFS('Daily Plan'!$H:$H,'Daily Plan'!$C:$C,$A16,'Daily Plan'!$A:$A,DF$1)</f>
        <v/>
      </c>
      <c r="DG16" s="47">
        <f>SUMIFS('Daily Plan'!$H:$H,'Daily Plan'!$C:$C,$A16,'Daily Plan'!$A:$A,DG$1)</f>
        <v/>
      </c>
      <c r="DH16" s="47">
        <f>SUMIFS('Daily Plan'!$H:$H,'Daily Plan'!$C:$C,$A16,'Daily Plan'!$A:$A,DH$1)</f>
        <v/>
      </c>
      <c r="DI16" s="47">
        <f>SUMIFS('Daily Plan'!$H:$H,'Daily Plan'!$C:$C,$A16,'Daily Plan'!$A:$A,DI$1)</f>
        <v/>
      </c>
      <c r="DJ16" s="48">
        <f>SUMIFS('Daily Plan'!$H:$H,'Daily Plan'!$C:$C,$A16,'Daily Plan'!$A:$A,DJ$1)</f>
        <v/>
      </c>
      <c r="DK16" s="48">
        <f>SUMIFS('Daily Plan'!$H:$H,'Daily Plan'!$C:$C,$A16,'Daily Plan'!$A:$A,DK$1)</f>
        <v/>
      </c>
      <c r="DL16" s="47">
        <f>SUMIFS('Daily Plan'!$H:$H,'Daily Plan'!$C:$C,$A16,'Daily Plan'!$A:$A,DL$1)</f>
        <v/>
      </c>
      <c r="DM16" s="47">
        <f>SUMIFS('Daily Plan'!$H:$H,'Daily Plan'!$C:$C,$A16,'Daily Plan'!$A:$A,DM$1)</f>
        <v/>
      </c>
      <c r="DN16" s="47">
        <f>SUMIFS('Daily Plan'!$H:$H,'Daily Plan'!$C:$C,$A16,'Daily Plan'!$A:$A,DN$1)</f>
        <v/>
      </c>
      <c r="DO16" s="47">
        <f>SUMIFS('Daily Plan'!$H:$H,'Daily Plan'!$C:$C,$A16,'Daily Plan'!$A:$A,DO$1)</f>
        <v/>
      </c>
      <c r="DP16" s="47">
        <f>SUMIFS('Daily Plan'!$H:$H,'Daily Plan'!$C:$C,$A16,'Daily Plan'!$A:$A,DP$1)</f>
        <v/>
      </c>
      <c r="DQ16" s="48">
        <f>SUMIFS('Daily Plan'!$H:$H,'Daily Plan'!$C:$C,$A16,'Daily Plan'!$A:$A,DQ$1)</f>
        <v/>
      </c>
      <c r="DR16" s="48">
        <f>SUMIFS('Daily Plan'!$H:$H,'Daily Plan'!$C:$C,$A16,'Daily Plan'!$A:$A,DR$1)</f>
        <v/>
      </c>
      <c r="DS16" s="47">
        <f>SUMIFS('Daily Plan'!$H:$H,'Daily Plan'!$C:$C,$A16,'Daily Plan'!$A:$A,DS$1)</f>
        <v/>
      </c>
      <c r="DT16" s="47">
        <f>SUMIFS('Daily Plan'!$H:$H,'Daily Plan'!$C:$C,$A16,'Daily Plan'!$A:$A,DT$1)</f>
        <v/>
      </c>
      <c r="DU16" s="47">
        <f>SUMIFS('Daily Plan'!$H:$H,'Daily Plan'!$C:$C,$A16,'Daily Plan'!$A:$A,DU$1)</f>
        <v/>
      </c>
      <c r="DV16" s="47">
        <f>SUMIFS('Daily Plan'!$H:$H,'Daily Plan'!$C:$C,$A16,'Daily Plan'!$A:$A,DV$1)</f>
        <v/>
      </c>
      <c r="DW16" s="47">
        <f>SUMIFS('Daily Plan'!$H:$H,'Daily Plan'!$C:$C,$A16,'Daily Plan'!$A:$A,DW$1)</f>
        <v/>
      </c>
      <c r="DX16" s="48">
        <f>SUMIFS('Daily Plan'!$H:$H,'Daily Plan'!$C:$C,$A16,'Daily Plan'!$A:$A,DX$1)</f>
        <v/>
      </c>
      <c r="DY16" s="48">
        <f>SUMIFS('Daily Plan'!$H:$H,'Daily Plan'!$C:$C,$A16,'Daily Plan'!$A:$A,DY$1)</f>
        <v/>
      </c>
      <c r="DZ16" s="47">
        <f>SUMIFS('Daily Plan'!$H:$H,'Daily Plan'!$C:$C,$A16,'Daily Plan'!$A:$A,DZ$1)</f>
        <v/>
      </c>
      <c r="EA16" s="47">
        <f>SUMIFS('Daily Plan'!$H:$H,'Daily Plan'!$C:$C,$A16,'Daily Plan'!$A:$A,EA$1)</f>
        <v/>
      </c>
      <c r="EB16" s="47">
        <f>SUMIFS('Daily Plan'!$H:$H,'Daily Plan'!$C:$C,$A16,'Daily Plan'!$A:$A,EB$1)</f>
        <v/>
      </c>
      <c r="EC16" s="47">
        <f>SUMIFS('Daily Plan'!$H:$H,'Daily Plan'!$C:$C,$A16,'Daily Plan'!$A:$A,EC$1)</f>
        <v/>
      </c>
      <c r="ED16" s="47">
        <f>SUMIFS('Daily Plan'!$H:$H,'Daily Plan'!$C:$C,$A16,'Daily Plan'!$A:$A,ED$1)</f>
        <v/>
      </c>
      <c r="EE16" s="48">
        <f>SUMIFS('Daily Plan'!$H:$H,'Daily Plan'!$C:$C,$A16,'Daily Plan'!$A:$A,EE$1)</f>
        <v/>
      </c>
      <c r="EF16" s="48">
        <f>SUMIFS('Daily Plan'!$H:$H,'Daily Plan'!$C:$C,$A16,'Daily Plan'!$A:$A,EF$1)</f>
        <v/>
      </c>
      <c r="EG16" s="47">
        <f>SUMIFS('Daily Plan'!$H:$H,'Daily Plan'!$C:$C,$A16,'Daily Plan'!$A:$A,EG$1)</f>
        <v/>
      </c>
      <c r="EH16" s="47">
        <f>SUMIFS('Daily Plan'!$H:$H,'Daily Plan'!$C:$C,$A16,'Daily Plan'!$A:$A,EH$1)</f>
        <v/>
      </c>
      <c r="EI16" s="47">
        <f>SUMIFS('Daily Plan'!$H:$H,'Daily Plan'!$C:$C,$A16,'Daily Plan'!$A:$A,EI$1)</f>
        <v/>
      </c>
      <c r="EJ16" s="47">
        <f>SUMIFS('Daily Plan'!$H:$H,'Daily Plan'!$C:$C,$A16,'Daily Plan'!$A:$A,EJ$1)</f>
        <v/>
      </c>
      <c r="EK16" s="47">
        <f>SUMIFS('Daily Plan'!$H:$H,'Daily Plan'!$C:$C,$A16,'Daily Plan'!$A:$A,EK$1)</f>
        <v/>
      </c>
      <c r="EL16" s="48">
        <f>SUMIFS('Daily Plan'!$H:$H,'Daily Plan'!$C:$C,$A16,'Daily Plan'!$A:$A,EL$1)</f>
        <v/>
      </c>
      <c r="EM16" s="48">
        <f>SUMIFS('Daily Plan'!$H:$H,'Daily Plan'!$C:$C,$A16,'Daily Plan'!$A:$A,EM$1)</f>
        <v/>
      </c>
      <c r="EN16" s="47">
        <f>SUMIFS('Daily Plan'!$H:$H,'Daily Plan'!$C:$C,$A16,'Daily Plan'!$A:$A,EN$1)</f>
        <v/>
      </c>
      <c r="EO16" s="47">
        <f>SUMIFS('Daily Plan'!$H:$H,'Daily Plan'!$C:$C,$A16,'Daily Plan'!$A:$A,EO$1)</f>
        <v/>
      </c>
      <c r="EP16" s="47">
        <f>SUMIFS('Daily Plan'!$H:$H,'Daily Plan'!$C:$C,$A16,'Daily Plan'!$A:$A,EP$1)</f>
        <v/>
      </c>
      <c r="EQ16" s="47">
        <f>SUMIFS('Daily Plan'!$H:$H,'Daily Plan'!$C:$C,$A16,'Daily Plan'!$A:$A,EQ$1)</f>
        <v/>
      </c>
      <c r="ER16" s="47">
        <f>SUMIFS('Daily Plan'!$H:$H,'Daily Plan'!$C:$C,$A16,'Daily Plan'!$A:$A,ER$1)</f>
        <v/>
      </c>
      <c r="ES16" s="48">
        <f>SUMIFS('Daily Plan'!$H:$H,'Daily Plan'!$C:$C,$A16,'Daily Plan'!$A:$A,ES$1)</f>
        <v/>
      </c>
      <c r="ET16" s="48">
        <f>SUMIFS('Daily Plan'!$H:$H,'Daily Plan'!$C:$C,$A16,'Daily Plan'!$A:$A,ET$1)</f>
        <v/>
      </c>
      <c r="EU16" s="47">
        <f>SUMIFS('Daily Plan'!$H:$H,'Daily Plan'!$C:$C,$A16,'Daily Plan'!$A:$A,EU$1)</f>
        <v/>
      </c>
      <c r="EV16" s="47">
        <f>SUMIFS('Daily Plan'!$H:$H,'Daily Plan'!$C:$C,$A16,'Daily Plan'!$A:$A,EV$1)</f>
        <v/>
      </c>
      <c r="EW16" s="47">
        <f>SUMIFS('Daily Plan'!$H:$H,'Daily Plan'!$C:$C,$A16,'Daily Plan'!$A:$A,EW$1)</f>
        <v/>
      </c>
      <c r="EX16" s="47">
        <f>SUMIFS('Daily Plan'!$H:$H,'Daily Plan'!$C:$C,$A16,'Daily Plan'!$A:$A,EX$1)</f>
        <v/>
      </c>
      <c r="EY16" s="47">
        <f>SUMIFS('Daily Plan'!$H:$H,'Daily Plan'!$C:$C,$A16,'Daily Plan'!$A:$A,EY$1)</f>
        <v/>
      </c>
      <c r="EZ16" s="48">
        <f>SUMIFS('Daily Plan'!$H:$H,'Daily Plan'!$C:$C,$A16,'Daily Plan'!$A:$A,EZ$1)</f>
        <v/>
      </c>
      <c r="FA16" s="48">
        <f>SUMIFS('Daily Plan'!$H:$H,'Daily Plan'!$C:$C,$A16,'Daily Plan'!$A:$A,FA$1)</f>
        <v/>
      </c>
      <c r="FB16" s="47">
        <f>SUMIFS('Daily Plan'!$H:$H,'Daily Plan'!$C:$C,$A16,'Daily Plan'!$A:$A,FB$1)</f>
        <v/>
      </c>
      <c r="FC16" s="47">
        <f>SUMIFS('Daily Plan'!$H:$H,'Daily Plan'!$C:$C,$A16,'Daily Plan'!$A:$A,FC$1)</f>
        <v/>
      </c>
      <c r="FD16" s="47">
        <f>SUMIFS('Daily Plan'!$H:$H,'Daily Plan'!$C:$C,$A16,'Daily Plan'!$A:$A,FD$1)</f>
        <v/>
      </c>
      <c r="FE16" s="47">
        <f>SUMIFS('Daily Plan'!$H:$H,'Daily Plan'!$C:$C,$A16,'Daily Plan'!$A:$A,FE$1)</f>
        <v/>
      </c>
      <c r="FF16" s="47">
        <f>SUMIFS('Daily Plan'!$H:$H,'Daily Plan'!$C:$C,$A16,'Daily Plan'!$A:$A,FF$1)</f>
        <v/>
      </c>
      <c r="FG16" s="48">
        <f>SUMIFS('Daily Plan'!$H:$H,'Daily Plan'!$C:$C,$A16,'Daily Plan'!$A:$A,FG$1)</f>
        <v/>
      </c>
      <c r="FH16" s="48">
        <f>SUMIFS('Daily Plan'!$H:$H,'Daily Plan'!$C:$C,$A16,'Daily Plan'!$A:$A,FH$1)</f>
        <v/>
      </c>
      <c r="FI16" s="47">
        <f>SUMIFS('Daily Plan'!$H:$H,'Daily Plan'!$C:$C,$A16,'Daily Plan'!$A:$A,FI$1)</f>
        <v/>
      </c>
      <c r="FJ16" s="47">
        <f>SUMIFS('Daily Plan'!$H:$H,'Daily Plan'!$C:$C,$A16,'Daily Plan'!$A:$A,FJ$1)</f>
        <v/>
      </c>
      <c r="FK16" s="47">
        <f>SUMIFS('Daily Plan'!$H:$H,'Daily Plan'!$C:$C,$A16,'Daily Plan'!$A:$A,FK$1)</f>
        <v/>
      </c>
      <c r="FL16" s="47">
        <f>SUMIFS('Daily Plan'!$H:$H,'Daily Plan'!$C:$C,$A16,'Daily Plan'!$A:$A,FL$1)</f>
        <v/>
      </c>
      <c r="FM16" s="47">
        <f>SUMIFS('Daily Plan'!$H:$H,'Daily Plan'!$C:$C,$A16,'Daily Plan'!$A:$A,FM$1)</f>
        <v/>
      </c>
      <c r="FN16" s="48">
        <f>SUMIFS('Daily Plan'!$H:$H,'Daily Plan'!$C:$C,$A16,'Daily Plan'!$A:$A,FN$1)</f>
        <v/>
      </c>
      <c r="FO16" s="48">
        <f>SUMIFS('Daily Plan'!$H:$H,'Daily Plan'!$C:$C,$A16,'Daily Plan'!$A:$A,FO$1)</f>
        <v/>
      </c>
      <c r="FP16" s="47">
        <f>SUMIFS('Daily Plan'!$H:$H,'Daily Plan'!$C:$C,$A16,'Daily Plan'!$A:$A,FP$1)</f>
        <v/>
      </c>
      <c r="FQ16" s="47">
        <f>SUMIFS('Daily Plan'!$H:$H,'Daily Plan'!$C:$C,$A16,'Daily Plan'!$A:$A,FQ$1)</f>
        <v/>
      </c>
      <c r="FR16" s="47">
        <f>SUMIFS('Daily Plan'!$H:$H,'Daily Plan'!$C:$C,$A16,'Daily Plan'!$A:$A,FR$1)</f>
        <v/>
      </c>
      <c r="FS16" s="47">
        <f>SUMIFS('Daily Plan'!$H:$H,'Daily Plan'!$C:$C,$A16,'Daily Plan'!$A:$A,FS$1)</f>
        <v/>
      </c>
    </row>
    <row r="17">
      <c r="A17" s="23" t="inlineStr">
        <is>
          <t>FINAL</t>
        </is>
      </c>
      <c r="B17" s="23" t="inlineStr">
        <is>
          <t>收尾</t>
        </is>
      </c>
      <c r="C17" s="2" t="inlineStr">
        <is>
          <t>最终验收</t>
        </is>
      </c>
      <c r="D17" s="43" t="n">
        <v>46307</v>
      </c>
      <c r="E17" s="43" t="n">
        <v>46310</v>
      </c>
      <c r="F17" s="23" t="inlineStr">
        <is>
          <t>pending</t>
        </is>
      </c>
      <c r="G17" s="44">
        <f>SUMIF('Daily Plan'!$C:$C,A17,'Daily Plan'!$H:$H)</f>
        <v/>
      </c>
      <c r="H17" s="44">
        <f>SUMIF('Daily Plan'!$C:$C,A17,'Daily Plan'!$I:$I)</f>
        <v/>
      </c>
      <c r="I17" s="44">
        <f>MAX(G17-H17,0)</f>
        <v/>
      </c>
      <c r="J17" s="25">
        <f>IF(G17=0,IF(F17="done",1,0),H17/G17)</f>
        <v/>
      </c>
      <c r="K17" s="2" t="inlineStr">
        <is>
          <t>全部任务</t>
        </is>
      </c>
      <c r="L17" s="2" t="inlineStr">
        <is>
          <t>sign-off 完成</t>
        </is>
      </c>
      <c r="M17" s="47">
        <f>SUMIFS('Daily Plan'!$H:$H,'Daily Plan'!$C:$C,$A17,'Daily Plan'!$A:$A,M$1)</f>
        <v/>
      </c>
      <c r="N17" s="47">
        <f>SUMIFS('Daily Plan'!$H:$H,'Daily Plan'!$C:$C,$A17,'Daily Plan'!$A:$A,N$1)</f>
        <v/>
      </c>
      <c r="O17" s="47">
        <f>SUMIFS('Daily Plan'!$H:$H,'Daily Plan'!$C:$C,$A17,'Daily Plan'!$A:$A,O$1)</f>
        <v/>
      </c>
      <c r="P17" s="48">
        <f>SUMIFS('Daily Plan'!$H:$H,'Daily Plan'!$C:$C,$A17,'Daily Plan'!$A:$A,P$1)</f>
        <v/>
      </c>
      <c r="Q17" s="48">
        <f>SUMIFS('Daily Plan'!$H:$H,'Daily Plan'!$C:$C,$A17,'Daily Plan'!$A:$A,Q$1)</f>
        <v/>
      </c>
      <c r="R17" s="47">
        <f>SUMIFS('Daily Plan'!$H:$H,'Daily Plan'!$C:$C,$A17,'Daily Plan'!$A:$A,R$1)</f>
        <v/>
      </c>
      <c r="S17" s="47">
        <f>SUMIFS('Daily Plan'!$H:$H,'Daily Plan'!$C:$C,$A17,'Daily Plan'!$A:$A,S$1)</f>
        <v/>
      </c>
      <c r="T17" s="47">
        <f>SUMIFS('Daily Plan'!$H:$H,'Daily Plan'!$C:$C,$A17,'Daily Plan'!$A:$A,T$1)</f>
        <v/>
      </c>
      <c r="U17" s="47">
        <f>SUMIFS('Daily Plan'!$H:$H,'Daily Plan'!$C:$C,$A17,'Daily Plan'!$A:$A,U$1)</f>
        <v/>
      </c>
      <c r="V17" s="47">
        <f>SUMIFS('Daily Plan'!$H:$H,'Daily Plan'!$C:$C,$A17,'Daily Plan'!$A:$A,V$1)</f>
        <v/>
      </c>
      <c r="W17" s="48">
        <f>SUMIFS('Daily Plan'!$H:$H,'Daily Plan'!$C:$C,$A17,'Daily Plan'!$A:$A,W$1)</f>
        <v/>
      </c>
      <c r="X17" s="48">
        <f>SUMIFS('Daily Plan'!$H:$H,'Daily Plan'!$C:$C,$A17,'Daily Plan'!$A:$A,X$1)</f>
        <v/>
      </c>
      <c r="Y17" s="47">
        <f>SUMIFS('Daily Plan'!$H:$H,'Daily Plan'!$C:$C,$A17,'Daily Plan'!$A:$A,Y$1)</f>
        <v/>
      </c>
      <c r="Z17" s="47">
        <f>SUMIFS('Daily Plan'!$H:$H,'Daily Plan'!$C:$C,$A17,'Daily Plan'!$A:$A,Z$1)</f>
        <v/>
      </c>
      <c r="AA17" s="47">
        <f>SUMIFS('Daily Plan'!$H:$H,'Daily Plan'!$C:$C,$A17,'Daily Plan'!$A:$A,AA$1)</f>
        <v/>
      </c>
      <c r="AB17" s="47">
        <f>SUMIFS('Daily Plan'!$H:$H,'Daily Plan'!$C:$C,$A17,'Daily Plan'!$A:$A,AB$1)</f>
        <v/>
      </c>
      <c r="AC17" s="47">
        <f>SUMIFS('Daily Plan'!$H:$H,'Daily Plan'!$C:$C,$A17,'Daily Plan'!$A:$A,AC$1)</f>
        <v/>
      </c>
      <c r="AD17" s="48">
        <f>SUMIFS('Daily Plan'!$H:$H,'Daily Plan'!$C:$C,$A17,'Daily Plan'!$A:$A,AD$1)</f>
        <v/>
      </c>
      <c r="AE17" s="48">
        <f>SUMIFS('Daily Plan'!$H:$H,'Daily Plan'!$C:$C,$A17,'Daily Plan'!$A:$A,AE$1)</f>
        <v/>
      </c>
      <c r="AF17" s="47">
        <f>SUMIFS('Daily Plan'!$H:$H,'Daily Plan'!$C:$C,$A17,'Daily Plan'!$A:$A,AF$1)</f>
        <v/>
      </c>
      <c r="AG17" s="47">
        <f>SUMIFS('Daily Plan'!$H:$H,'Daily Plan'!$C:$C,$A17,'Daily Plan'!$A:$A,AG$1)</f>
        <v/>
      </c>
      <c r="AH17" s="47">
        <f>SUMIFS('Daily Plan'!$H:$H,'Daily Plan'!$C:$C,$A17,'Daily Plan'!$A:$A,AH$1)</f>
        <v/>
      </c>
      <c r="AI17" s="47">
        <f>SUMIFS('Daily Plan'!$H:$H,'Daily Plan'!$C:$C,$A17,'Daily Plan'!$A:$A,AI$1)</f>
        <v/>
      </c>
      <c r="AJ17" s="47">
        <f>SUMIFS('Daily Plan'!$H:$H,'Daily Plan'!$C:$C,$A17,'Daily Plan'!$A:$A,AJ$1)</f>
        <v/>
      </c>
      <c r="AK17" s="48">
        <f>SUMIFS('Daily Plan'!$H:$H,'Daily Plan'!$C:$C,$A17,'Daily Plan'!$A:$A,AK$1)</f>
        <v/>
      </c>
      <c r="AL17" s="48">
        <f>SUMIFS('Daily Plan'!$H:$H,'Daily Plan'!$C:$C,$A17,'Daily Plan'!$A:$A,AL$1)</f>
        <v/>
      </c>
      <c r="AM17" s="47">
        <f>SUMIFS('Daily Plan'!$H:$H,'Daily Plan'!$C:$C,$A17,'Daily Plan'!$A:$A,AM$1)</f>
        <v/>
      </c>
      <c r="AN17" s="47">
        <f>SUMIFS('Daily Plan'!$H:$H,'Daily Plan'!$C:$C,$A17,'Daily Plan'!$A:$A,AN$1)</f>
        <v/>
      </c>
      <c r="AO17" s="47">
        <f>SUMIFS('Daily Plan'!$H:$H,'Daily Plan'!$C:$C,$A17,'Daily Plan'!$A:$A,AO$1)</f>
        <v/>
      </c>
      <c r="AP17" s="47">
        <f>SUMIFS('Daily Plan'!$H:$H,'Daily Plan'!$C:$C,$A17,'Daily Plan'!$A:$A,AP$1)</f>
        <v/>
      </c>
      <c r="AQ17" s="47">
        <f>SUMIFS('Daily Plan'!$H:$H,'Daily Plan'!$C:$C,$A17,'Daily Plan'!$A:$A,AQ$1)</f>
        <v/>
      </c>
      <c r="AR17" s="48">
        <f>SUMIFS('Daily Plan'!$H:$H,'Daily Plan'!$C:$C,$A17,'Daily Plan'!$A:$A,AR$1)</f>
        <v/>
      </c>
      <c r="AS17" s="48">
        <f>SUMIFS('Daily Plan'!$H:$H,'Daily Plan'!$C:$C,$A17,'Daily Plan'!$A:$A,AS$1)</f>
        <v/>
      </c>
      <c r="AT17" s="47">
        <f>SUMIFS('Daily Plan'!$H:$H,'Daily Plan'!$C:$C,$A17,'Daily Plan'!$A:$A,AT$1)</f>
        <v/>
      </c>
      <c r="AU17" s="47">
        <f>SUMIFS('Daily Plan'!$H:$H,'Daily Plan'!$C:$C,$A17,'Daily Plan'!$A:$A,AU$1)</f>
        <v/>
      </c>
      <c r="AV17" s="47">
        <f>SUMIFS('Daily Plan'!$H:$H,'Daily Plan'!$C:$C,$A17,'Daily Plan'!$A:$A,AV$1)</f>
        <v/>
      </c>
      <c r="AW17" s="47">
        <f>SUMIFS('Daily Plan'!$H:$H,'Daily Plan'!$C:$C,$A17,'Daily Plan'!$A:$A,AW$1)</f>
        <v/>
      </c>
      <c r="AX17" s="47">
        <f>SUMIFS('Daily Plan'!$H:$H,'Daily Plan'!$C:$C,$A17,'Daily Plan'!$A:$A,AX$1)</f>
        <v/>
      </c>
      <c r="AY17" s="48">
        <f>SUMIFS('Daily Plan'!$H:$H,'Daily Plan'!$C:$C,$A17,'Daily Plan'!$A:$A,AY$1)</f>
        <v/>
      </c>
      <c r="AZ17" s="48">
        <f>SUMIFS('Daily Plan'!$H:$H,'Daily Plan'!$C:$C,$A17,'Daily Plan'!$A:$A,AZ$1)</f>
        <v/>
      </c>
      <c r="BA17" s="47">
        <f>SUMIFS('Daily Plan'!$H:$H,'Daily Plan'!$C:$C,$A17,'Daily Plan'!$A:$A,BA$1)</f>
        <v/>
      </c>
      <c r="BB17" s="47">
        <f>SUMIFS('Daily Plan'!$H:$H,'Daily Plan'!$C:$C,$A17,'Daily Plan'!$A:$A,BB$1)</f>
        <v/>
      </c>
      <c r="BC17" s="47">
        <f>SUMIFS('Daily Plan'!$H:$H,'Daily Plan'!$C:$C,$A17,'Daily Plan'!$A:$A,BC$1)</f>
        <v/>
      </c>
      <c r="BD17" s="47">
        <f>SUMIFS('Daily Plan'!$H:$H,'Daily Plan'!$C:$C,$A17,'Daily Plan'!$A:$A,BD$1)</f>
        <v/>
      </c>
      <c r="BE17" s="47">
        <f>SUMIFS('Daily Plan'!$H:$H,'Daily Plan'!$C:$C,$A17,'Daily Plan'!$A:$A,BE$1)</f>
        <v/>
      </c>
      <c r="BF17" s="48">
        <f>SUMIFS('Daily Plan'!$H:$H,'Daily Plan'!$C:$C,$A17,'Daily Plan'!$A:$A,BF$1)</f>
        <v/>
      </c>
      <c r="BG17" s="48">
        <f>SUMIFS('Daily Plan'!$H:$H,'Daily Plan'!$C:$C,$A17,'Daily Plan'!$A:$A,BG$1)</f>
        <v/>
      </c>
      <c r="BH17" s="47">
        <f>SUMIFS('Daily Plan'!$H:$H,'Daily Plan'!$C:$C,$A17,'Daily Plan'!$A:$A,BH$1)</f>
        <v/>
      </c>
      <c r="BI17" s="47">
        <f>SUMIFS('Daily Plan'!$H:$H,'Daily Plan'!$C:$C,$A17,'Daily Plan'!$A:$A,BI$1)</f>
        <v/>
      </c>
      <c r="BJ17" s="47">
        <f>SUMIFS('Daily Plan'!$H:$H,'Daily Plan'!$C:$C,$A17,'Daily Plan'!$A:$A,BJ$1)</f>
        <v/>
      </c>
      <c r="BK17" s="47">
        <f>SUMIFS('Daily Plan'!$H:$H,'Daily Plan'!$C:$C,$A17,'Daily Plan'!$A:$A,BK$1)</f>
        <v/>
      </c>
      <c r="BL17" s="47">
        <f>SUMIFS('Daily Plan'!$H:$H,'Daily Plan'!$C:$C,$A17,'Daily Plan'!$A:$A,BL$1)</f>
        <v/>
      </c>
      <c r="BM17" s="48">
        <f>SUMIFS('Daily Plan'!$H:$H,'Daily Plan'!$C:$C,$A17,'Daily Plan'!$A:$A,BM$1)</f>
        <v/>
      </c>
      <c r="BN17" s="48">
        <f>SUMIFS('Daily Plan'!$H:$H,'Daily Plan'!$C:$C,$A17,'Daily Plan'!$A:$A,BN$1)</f>
        <v/>
      </c>
      <c r="BO17" s="47">
        <f>SUMIFS('Daily Plan'!$H:$H,'Daily Plan'!$C:$C,$A17,'Daily Plan'!$A:$A,BO$1)</f>
        <v/>
      </c>
      <c r="BP17" s="47">
        <f>SUMIFS('Daily Plan'!$H:$H,'Daily Plan'!$C:$C,$A17,'Daily Plan'!$A:$A,BP$1)</f>
        <v/>
      </c>
      <c r="BQ17" s="47">
        <f>SUMIFS('Daily Plan'!$H:$H,'Daily Plan'!$C:$C,$A17,'Daily Plan'!$A:$A,BQ$1)</f>
        <v/>
      </c>
      <c r="BR17" s="47">
        <f>SUMIFS('Daily Plan'!$H:$H,'Daily Plan'!$C:$C,$A17,'Daily Plan'!$A:$A,BR$1)</f>
        <v/>
      </c>
      <c r="BS17" s="47">
        <f>SUMIFS('Daily Plan'!$H:$H,'Daily Plan'!$C:$C,$A17,'Daily Plan'!$A:$A,BS$1)</f>
        <v/>
      </c>
      <c r="BT17" s="48">
        <f>SUMIFS('Daily Plan'!$H:$H,'Daily Plan'!$C:$C,$A17,'Daily Plan'!$A:$A,BT$1)</f>
        <v/>
      </c>
      <c r="BU17" s="48">
        <f>SUMIFS('Daily Plan'!$H:$H,'Daily Plan'!$C:$C,$A17,'Daily Plan'!$A:$A,BU$1)</f>
        <v/>
      </c>
      <c r="BV17" s="47">
        <f>SUMIFS('Daily Plan'!$H:$H,'Daily Plan'!$C:$C,$A17,'Daily Plan'!$A:$A,BV$1)</f>
        <v/>
      </c>
      <c r="BW17" s="47">
        <f>SUMIFS('Daily Plan'!$H:$H,'Daily Plan'!$C:$C,$A17,'Daily Plan'!$A:$A,BW$1)</f>
        <v/>
      </c>
      <c r="BX17" s="47">
        <f>SUMIFS('Daily Plan'!$H:$H,'Daily Plan'!$C:$C,$A17,'Daily Plan'!$A:$A,BX$1)</f>
        <v/>
      </c>
      <c r="BY17" s="47">
        <f>SUMIFS('Daily Plan'!$H:$H,'Daily Plan'!$C:$C,$A17,'Daily Plan'!$A:$A,BY$1)</f>
        <v/>
      </c>
      <c r="BZ17" s="47">
        <f>SUMIFS('Daily Plan'!$H:$H,'Daily Plan'!$C:$C,$A17,'Daily Plan'!$A:$A,BZ$1)</f>
        <v/>
      </c>
      <c r="CA17" s="48">
        <f>SUMIFS('Daily Plan'!$H:$H,'Daily Plan'!$C:$C,$A17,'Daily Plan'!$A:$A,CA$1)</f>
        <v/>
      </c>
      <c r="CB17" s="48">
        <f>SUMIFS('Daily Plan'!$H:$H,'Daily Plan'!$C:$C,$A17,'Daily Plan'!$A:$A,CB$1)</f>
        <v/>
      </c>
      <c r="CC17" s="47">
        <f>SUMIFS('Daily Plan'!$H:$H,'Daily Plan'!$C:$C,$A17,'Daily Plan'!$A:$A,CC$1)</f>
        <v/>
      </c>
      <c r="CD17" s="47">
        <f>SUMIFS('Daily Plan'!$H:$H,'Daily Plan'!$C:$C,$A17,'Daily Plan'!$A:$A,CD$1)</f>
        <v/>
      </c>
      <c r="CE17" s="47">
        <f>SUMIFS('Daily Plan'!$H:$H,'Daily Plan'!$C:$C,$A17,'Daily Plan'!$A:$A,CE$1)</f>
        <v/>
      </c>
      <c r="CF17" s="47">
        <f>SUMIFS('Daily Plan'!$H:$H,'Daily Plan'!$C:$C,$A17,'Daily Plan'!$A:$A,CF$1)</f>
        <v/>
      </c>
      <c r="CG17" s="47">
        <f>SUMIFS('Daily Plan'!$H:$H,'Daily Plan'!$C:$C,$A17,'Daily Plan'!$A:$A,CG$1)</f>
        <v/>
      </c>
      <c r="CH17" s="48">
        <f>SUMIFS('Daily Plan'!$H:$H,'Daily Plan'!$C:$C,$A17,'Daily Plan'!$A:$A,CH$1)</f>
        <v/>
      </c>
      <c r="CI17" s="48">
        <f>SUMIFS('Daily Plan'!$H:$H,'Daily Plan'!$C:$C,$A17,'Daily Plan'!$A:$A,CI$1)</f>
        <v/>
      </c>
      <c r="CJ17" s="47">
        <f>SUMIFS('Daily Plan'!$H:$H,'Daily Plan'!$C:$C,$A17,'Daily Plan'!$A:$A,CJ$1)</f>
        <v/>
      </c>
      <c r="CK17" s="47">
        <f>SUMIFS('Daily Plan'!$H:$H,'Daily Plan'!$C:$C,$A17,'Daily Plan'!$A:$A,CK$1)</f>
        <v/>
      </c>
      <c r="CL17" s="47">
        <f>SUMIFS('Daily Plan'!$H:$H,'Daily Plan'!$C:$C,$A17,'Daily Plan'!$A:$A,CL$1)</f>
        <v/>
      </c>
      <c r="CM17" s="47">
        <f>SUMIFS('Daily Plan'!$H:$H,'Daily Plan'!$C:$C,$A17,'Daily Plan'!$A:$A,CM$1)</f>
        <v/>
      </c>
      <c r="CN17" s="47">
        <f>SUMIFS('Daily Plan'!$H:$H,'Daily Plan'!$C:$C,$A17,'Daily Plan'!$A:$A,CN$1)</f>
        <v/>
      </c>
      <c r="CO17" s="48">
        <f>SUMIFS('Daily Plan'!$H:$H,'Daily Plan'!$C:$C,$A17,'Daily Plan'!$A:$A,CO$1)</f>
        <v/>
      </c>
      <c r="CP17" s="48">
        <f>SUMIFS('Daily Plan'!$H:$H,'Daily Plan'!$C:$C,$A17,'Daily Plan'!$A:$A,CP$1)</f>
        <v/>
      </c>
      <c r="CQ17" s="47">
        <f>SUMIFS('Daily Plan'!$H:$H,'Daily Plan'!$C:$C,$A17,'Daily Plan'!$A:$A,CQ$1)</f>
        <v/>
      </c>
      <c r="CR17" s="47">
        <f>SUMIFS('Daily Plan'!$H:$H,'Daily Plan'!$C:$C,$A17,'Daily Plan'!$A:$A,CR$1)</f>
        <v/>
      </c>
      <c r="CS17" s="47">
        <f>SUMIFS('Daily Plan'!$H:$H,'Daily Plan'!$C:$C,$A17,'Daily Plan'!$A:$A,CS$1)</f>
        <v/>
      </c>
      <c r="CT17" s="47">
        <f>SUMIFS('Daily Plan'!$H:$H,'Daily Plan'!$C:$C,$A17,'Daily Plan'!$A:$A,CT$1)</f>
        <v/>
      </c>
      <c r="CU17" s="47">
        <f>SUMIFS('Daily Plan'!$H:$H,'Daily Plan'!$C:$C,$A17,'Daily Plan'!$A:$A,CU$1)</f>
        <v/>
      </c>
      <c r="CV17" s="48">
        <f>SUMIFS('Daily Plan'!$H:$H,'Daily Plan'!$C:$C,$A17,'Daily Plan'!$A:$A,CV$1)</f>
        <v/>
      </c>
      <c r="CW17" s="48">
        <f>SUMIFS('Daily Plan'!$H:$H,'Daily Plan'!$C:$C,$A17,'Daily Plan'!$A:$A,CW$1)</f>
        <v/>
      </c>
      <c r="CX17" s="47">
        <f>SUMIFS('Daily Plan'!$H:$H,'Daily Plan'!$C:$C,$A17,'Daily Plan'!$A:$A,CX$1)</f>
        <v/>
      </c>
      <c r="CY17" s="47">
        <f>SUMIFS('Daily Plan'!$H:$H,'Daily Plan'!$C:$C,$A17,'Daily Plan'!$A:$A,CY$1)</f>
        <v/>
      </c>
      <c r="CZ17" s="47">
        <f>SUMIFS('Daily Plan'!$H:$H,'Daily Plan'!$C:$C,$A17,'Daily Plan'!$A:$A,CZ$1)</f>
        <v/>
      </c>
      <c r="DA17" s="47">
        <f>SUMIFS('Daily Plan'!$H:$H,'Daily Plan'!$C:$C,$A17,'Daily Plan'!$A:$A,DA$1)</f>
        <v/>
      </c>
      <c r="DB17" s="47">
        <f>SUMIFS('Daily Plan'!$H:$H,'Daily Plan'!$C:$C,$A17,'Daily Plan'!$A:$A,DB$1)</f>
        <v/>
      </c>
      <c r="DC17" s="48">
        <f>SUMIFS('Daily Plan'!$H:$H,'Daily Plan'!$C:$C,$A17,'Daily Plan'!$A:$A,DC$1)</f>
        <v/>
      </c>
      <c r="DD17" s="48">
        <f>SUMIFS('Daily Plan'!$H:$H,'Daily Plan'!$C:$C,$A17,'Daily Plan'!$A:$A,DD$1)</f>
        <v/>
      </c>
      <c r="DE17" s="47">
        <f>SUMIFS('Daily Plan'!$H:$H,'Daily Plan'!$C:$C,$A17,'Daily Plan'!$A:$A,DE$1)</f>
        <v/>
      </c>
      <c r="DF17" s="47">
        <f>SUMIFS('Daily Plan'!$H:$H,'Daily Plan'!$C:$C,$A17,'Daily Plan'!$A:$A,DF$1)</f>
        <v/>
      </c>
      <c r="DG17" s="47">
        <f>SUMIFS('Daily Plan'!$H:$H,'Daily Plan'!$C:$C,$A17,'Daily Plan'!$A:$A,DG$1)</f>
        <v/>
      </c>
      <c r="DH17" s="47">
        <f>SUMIFS('Daily Plan'!$H:$H,'Daily Plan'!$C:$C,$A17,'Daily Plan'!$A:$A,DH$1)</f>
        <v/>
      </c>
      <c r="DI17" s="47">
        <f>SUMIFS('Daily Plan'!$H:$H,'Daily Plan'!$C:$C,$A17,'Daily Plan'!$A:$A,DI$1)</f>
        <v/>
      </c>
      <c r="DJ17" s="48">
        <f>SUMIFS('Daily Plan'!$H:$H,'Daily Plan'!$C:$C,$A17,'Daily Plan'!$A:$A,DJ$1)</f>
        <v/>
      </c>
      <c r="DK17" s="48">
        <f>SUMIFS('Daily Plan'!$H:$H,'Daily Plan'!$C:$C,$A17,'Daily Plan'!$A:$A,DK$1)</f>
        <v/>
      </c>
      <c r="DL17" s="47">
        <f>SUMIFS('Daily Plan'!$H:$H,'Daily Plan'!$C:$C,$A17,'Daily Plan'!$A:$A,DL$1)</f>
        <v/>
      </c>
      <c r="DM17" s="47">
        <f>SUMIFS('Daily Plan'!$H:$H,'Daily Plan'!$C:$C,$A17,'Daily Plan'!$A:$A,DM$1)</f>
        <v/>
      </c>
      <c r="DN17" s="47">
        <f>SUMIFS('Daily Plan'!$H:$H,'Daily Plan'!$C:$C,$A17,'Daily Plan'!$A:$A,DN$1)</f>
        <v/>
      </c>
      <c r="DO17" s="47">
        <f>SUMIFS('Daily Plan'!$H:$H,'Daily Plan'!$C:$C,$A17,'Daily Plan'!$A:$A,DO$1)</f>
        <v/>
      </c>
      <c r="DP17" s="47">
        <f>SUMIFS('Daily Plan'!$H:$H,'Daily Plan'!$C:$C,$A17,'Daily Plan'!$A:$A,DP$1)</f>
        <v/>
      </c>
      <c r="DQ17" s="48">
        <f>SUMIFS('Daily Plan'!$H:$H,'Daily Plan'!$C:$C,$A17,'Daily Plan'!$A:$A,DQ$1)</f>
        <v/>
      </c>
      <c r="DR17" s="48">
        <f>SUMIFS('Daily Plan'!$H:$H,'Daily Plan'!$C:$C,$A17,'Daily Plan'!$A:$A,DR$1)</f>
        <v/>
      </c>
      <c r="DS17" s="47">
        <f>SUMIFS('Daily Plan'!$H:$H,'Daily Plan'!$C:$C,$A17,'Daily Plan'!$A:$A,DS$1)</f>
        <v/>
      </c>
      <c r="DT17" s="47">
        <f>SUMIFS('Daily Plan'!$H:$H,'Daily Plan'!$C:$C,$A17,'Daily Plan'!$A:$A,DT$1)</f>
        <v/>
      </c>
      <c r="DU17" s="47">
        <f>SUMIFS('Daily Plan'!$H:$H,'Daily Plan'!$C:$C,$A17,'Daily Plan'!$A:$A,DU$1)</f>
        <v/>
      </c>
      <c r="DV17" s="47">
        <f>SUMIFS('Daily Plan'!$H:$H,'Daily Plan'!$C:$C,$A17,'Daily Plan'!$A:$A,DV$1)</f>
        <v/>
      </c>
      <c r="DW17" s="47">
        <f>SUMIFS('Daily Plan'!$H:$H,'Daily Plan'!$C:$C,$A17,'Daily Plan'!$A:$A,DW$1)</f>
        <v/>
      </c>
      <c r="DX17" s="48">
        <f>SUMIFS('Daily Plan'!$H:$H,'Daily Plan'!$C:$C,$A17,'Daily Plan'!$A:$A,DX$1)</f>
        <v/>
      </c>
      <c r="DY17" s="48">
        <f>SUMIFS('Daily Plan'!$H:$H,'Daily Plan'!$C:$C,$A17,'Daily Plan'!$A:$A,DY$1)</f>
        <v/>
      </c>
      <c r="DZ17" s="47">
        <f>SUMIFS('Daily Plan'!$H:$H,'Daily Plan'!$C:$C,$A17,'Daily Plan'!$A:$A,DZ$1)</f>
        <v/>
      </c>
      <c r="EA17" s="47">
        <f>SUMIFS('Daily Plan'!$H:$H,'Daily Plan'!$C:$C,$A17,'Daily Plan'!$A:$A,EA$1)</f>
        <v/>
      </c>
      <c r="EB17" s="47">
        <f>SUMIFS('Daily Plan'!$H:$H,'Daily Plan'!$C:$C,$A17,'Daily Plan'!$A:$A,EB$1)</f>
        <v/>
      </c>
      <c r="EC17" s="47">
        <f>SUMIFS('Daily Plan'!$H:$H,'Daily Plan'!$C:$C,$A17,'Daily Plan'!$A:$A,EC$1)</f>
        <v/>
      </c>
      <c r="ED17" s="47">
        <f>SUMIFS('Daily Plan'!$H:$H,'Daily Plan'!$C:$C,$A17,'Daily Plan'!$A:$A,ED$1)</f>
        <v/>
      </c>
      <c r="EE17" s="48">
        <f>SUMIFS('Daily Plan'!$H:$H,'Daily Plan'!$C:$C,$A17,'Daily Plan'!$A:$A,EE$1)</f>
        <v/>
      </c>
      <c r="EF17" s="48">
        <f>SUMIFS('Daily Plan'!$H:$H,'Daily Plan'!$C:$C,$A17,'Daily Plan'!$A:$A,EF$1)</f>
        <v/>
      </c>
      <c r="EG17" s="47">
        <f>SUMIFS('Daily Plan'!$H:$H,'Daily Plan'!$C:$C,$A17,'Daily Plan'!$A:$A,EG$1)</f>
        <v/>
      </c>
      <c r="EH17" s="47">
        <f>SUMIFS('Daily Plan'!$H:$H,'Daily Plan'!$C:$C,$A17,'Daily Plan'!$A:$A,EH$1)</f>
        <v/>
      </c>
      <c r="EI17" s="47">
        <f>SUMIFS('Daily Plan'!$H:$H,'Daily Plan'!$C:$C,$A17,'Daily Plan'!$A:$A,EI$1)</f>
        <v/>
      </c>
      <c r="EJ17" s="47">
        <f>SUMIFS('Daily Plan'!$H:$H,'Daily Plan'!$C:$C,$A17,'Daily Plan'!$A:$A,EJ$1)</f>
        <v/>
      </c>
      <c r="EK17" s="47">
        <f>SUMIFS('Daily Plan'!$H:$H,'Daily Plan'!$C:$C,$A17,'Daily Plan'!$A:$A,EK$1)</f>
        <v/>
      </c>
      <c r="EL17" s="48">
        <f>SUMIFS('Daily Plan'!$H:$H,'Daily Plan'!$C:$C,$A17,'Daily Plan'!$A:$A,EL$1)</f>
        <v/>
      </c>
      <c r="EM17" s="48">
        <f>SUMIFS('Daily Plan'!$H:$H,'Daily Plan'!$C:$C,$A17,'Daily Plan'!$A:$A,EM$1)</f>
        <v/>
      </c>
      <c r="EN17" s="47">
        <f>SUMIFS('Daily Plan'!$H:$H,'Daily Plan'!$C:$C,$A17,'Daily Plan'!$A:$A,EN$1)</f>
        <v/>
      </c>
      <c r="EO17" s="47">
        <f>SUMIFS('Daily Plan'!$H:$H,'Daily Plan'!$C:$C,$A17,'Daily Plan'!$A:$A,EO$1)</f>
        <v/>
      </c>
      <c r="EP17" s="47">
        <f>SUMIFS('Daily Plan'!$H:$H,'Daily Plan'!$C:$C,$A17,'Daily Plan'!$A:$A,EP$1)</f>
        <v/>
      </c>
      <c r="EQ17" s="47">
        <f>SUMIFS('Daily Plan'!$H:$H,'Daily Plan'!$C:$C,$A17,'Daily Plan'!$A:$A,EQ$1)</f>
        <v/>
      </c>
      <c r="ER17" s="47">
        <f>SUMIFS('Daily Plan'!$H:$H,'Daily Plan'!$C:$C,$A17,'Daily Plan'!$A:$A,ER$1)</f>
        <v/>
      </c>
      <c r="ES17" s="48">
        <f>SUMIFS('Daily Plan'!$H:$H,'Daily Plan'!$C:$C,$A17,'Daily Plan'!$A:$A,ES$1)</f>
        <v/>
      </c>
      <c r="ET17" s="48">
        <f>SUMIFS('Daily Plan'!$H:$H,'Daily Plan'!$C:$C,$A17,'Daily Plan'!$A:$A,ET$1)</f>
        <v/>
      </c>
      <c r="EU17" s="47">
        <f>SUMIFS('Daily Plan'!$H:$H,'Daily Plan'!$C:$C,$A17,'Daily Plan'!$A:$A,EU$1)</f>
        <v/>
      </c>
      <c r="EV17" s="47">
        <f>SUMIFS('Daily Plan'!$H:$H,'Daily Plan'!$C:$C,$A17,'Daily Plan'!$A:$A,EV$1)</f>
        <v/>
      </c>
      <c r="EW17" s="47">
        <f>SUMIFS('Daily Plan'!$H:$H,'Daily Plan'!$C:$C,$A17,'Daily Plan'!$A:$A,EW$1)</f>
        <v/>
      </c>
      <c r="EX17" s="47">
        <f>SUMIFS('Daily Plan'!$H:$H,'Daily Plan'!$C:$C,$A17,'Daily Plan'!$A:$A,EX$1)</f>
        <v/>
      </c>
      <c r="EY17" s="47">
        <f>SUMIFS('Daily Plan'!$H:$H,'Daily Plan'!$C:$C,$A17,'Daily Plan'!$A:$A,EY$1)</f>
        <v/>
      </c>
      <c r="EZ17" s="48">
        <f>SUMIFS('Daily Plan'!$H:$H,'Daily Plan'!$C:$C,$A17,'Daily Plan'!$A:$A,EZ$1)</f>
        <v/>
      </c>
      <c r="FA17" s="48">
        <f>SUMIFS('Daily Plan'!$H:$H,'Daily Plan'!$C:$C,$A17,'Daily Plan'!$A:$A,FA$1)</f>
        <v/>
      </c>
      <c r="FB17" s="47">
        <f>SUMIFS('Daily Plan'!$H:$H,'Daily Plan'!$C:$C,$A17,'Daily Plan'!$A:$A,FB$1)</f>
        <v/>
      </c>
      <c r="FC17" s="47">
        <f>SUMIFS('Daily Plan'!$H:$H,'Daily Plan'!$C:$C,$A17,'Daily Plan'!$A:$A,FC$1)</f>
        <v/>
      </c>
      <c r="FD17" s="47">
        <f>SUMIFS('Daily Plan'!$H:$H,'Daily Plan'!$C:$C,$A17,'Daily Plan'!$A:$A,FD$1)</f>
        <v/>
      </c>
      <c r="FE17" s="47">
        <f>SUMIFS('Daily Plan'!$H:$H,'Daily Plan'!$C:$C,$A17,'Daily Plan'!$A:$A,FE$1)</f>
        <v/>
      </c>
      <c r="FF17" s="47">
        <f>SUMIFS('Daily Plan'!$H:$H,'Daily Plan'!$C:$C,$A17,'Daily Plan'!$A:$A,FF$1)</f>
        <v/>
      </c>
      <c r="FG17" s="48">
        <f>SUMIFS('Daily Plan'!$H:$H,'Daily Plan'!$C:$C,$A17,'Daily Plan'!$A:$A,FG$1)</f>
        <v/>
      </c>
      <c r="FH17" s="48">
        <f>SUMIFS('Daily Plan'!$H:$H,'Daily Plan'!$C:$C,$A17,'Daily Plan'!$A:$A,FH$1)</f>
        <v/>
      </c>
      <c r="FI17" s="47">
        <f>SUMIFS('Daily Plan'!$H:$H,'Daily Plan'!$C:$C,$A17,'Daily Plan'!$A:$A,FI$1)</f>
        <v/>
      </c>
      <c r="FJ17" s="47">
        <f>SUMIFS('Daily Plan'!$H:$H,'Daily Plan'!$C:$C,$A17,'Daily Plan'!$A:$A,FJ$1)</f>
        <v/>
      </c>
      <c r="FK17" s="47">
        <f>SUMIFS('Daily Plan'!$H:$H,'Daily Plan'!$C:$C,$A17,'Daily Plan'!$A:$A,FK$1)</f>
        <v/>
      </c>
      <c r="FL17" s="47">
        <f>SUMIFS('Daily Plan'!$H:$H,'Daily Plan'!$C:$C,$A17,'Daily Plan'!$A:$A,FL$1)</f>
        <v/>
      </c>
      <c r="FM17" s="47">
        <f>SUMIFS('Daily Plan'!$H:$H,'Daily Plan'!$C:$C,$A17,'Daily Plan'!$A:$A,FM$1)</f>
        <v/>
      </c>
      <c r="FN17" s="48">
        <f>SUMIFS('Daily Plan'!$H:$H,'Daily Plan'!$C:$C,$A17,'Daily Plan'!$A:$A,FN$1)</f>
        <v/>
      </c>
      <c r="FO17" s="48">
        <f>SUMIFS('Daily Plan'!$H:$H,'Daily Plan'!$C:$C,$A17,'Daily Plan'!$A:$A,FO$1)</f>
        <v/>
      </c>
      <c r="FP17" s="47">
        <f>SUMIFS('Daily Plan'!$H:$H,'Daily Plan'!$C:$C,$A17,'Daily Plan'!$A:$A,FP$1)</f>
        <v/>
      </c>
      <c r="FQ17" s="47">
        <f>SUMIFS('Daily Plan'!$H:$H,'Daily Plan'!$C:$C,$A17,'Daily Plan'!$A:$A,FQ$1)</f>
        <v/>
      </c>
      <c r="FR17" s="47">
        <f>SUMIFS('Daily Plan'!$H:$H,'Daily Plan'!$C:$C,$A17,'Daily Plan'!$A:$A,FR$1)</f>
        <v/>
      </c>
      <c r="FS17" s="47">
        <f>SUMIFS('Daily Plan'!$H:$H,'Daily Plan'!$C:$C,$A17,'Daily Plan'!$A:$A,FS$1)</f>
        <v/>
      </c>
    </row>
    <row r="20">
      <c r="A20" s="8" t="inlineStr">
        <is>
          <t>工时口径</t>
        </is>
      </c>
      <c r="B20" s="37" t="inlineStr">
        <is>
          <t>默认每个 Daily Plan 行 = 10h；可在 Daily Plan 的计划工时/已完成工时列手动调整，Progress Tracker 与 Hourly Gantt 将按公式汇总。</t>
        </is>
      </c>
    </row>
    <row r="22">
      <c r="A22" s="23" t="inlineStr">
        <is>
          <t>启动</t>
        </is>
      </c>
      <c r="B22" s="32" t="inlineStr">
        <is>
          <t>planned hours &gt; 0</t>
        </is>
      </c>
    </row>
    <row r="23">
      <c r="A23" s="23" t="inlineStr">
        <is>
          <t>工程</t>
        </is>
      </c>
      <c r="B23" s="33" t="inlineStr">
        <is>
          <t>planned hours &gt; 0</t>
        </is>
      </c>
    </row>
    <row r="24">
      <c r="A24" s="23" t="inlineStr">
        <is>
          <t>校验</t>
        </is>
      </c>
      <c r="B24" s="34" t="inlineStr">
        <is>
          <t>planned hours &gt; 0</t>
        </is>
      </c>
    </row>
    <row r="25">
      <c r="A25" s="23" t="inlineStr">
        <is>
          <t>测试</t>
        </is>
      </c>
      <c r="B25" s="35" t="inlineStr">
        <is>
          <t>planned hours &gt; 0</t>
        </is>
      </c>
    </row>
    <row r="26">
      <c r="A26" s="23" t="inlineStr">
        <is>
          <t>文档</t>
        </is>
      </c>
      <c r="B26" s="36" t="inlineStr">
        <is>
          <t>planned hours &gt; 0</t>
        </is>
      </c>
    </row>
    <row r="27">
      <c r="A27" s="23" t="inlineStr">
        <is>
          <t>代码设计</t>
        </is>
      </c>
      <c r="B27" s="31" t="inlineStr">
        <is>
          <t>planned hours &gt; 0</t>
        </is>
      </c>
    </row>
    <row r="28">
      <c r="A28" s="23" t="inlineStr">
        <is>
          <t>收尾</t>
        </is>
      </c>
      <c r="B28" s="30" t="inlineStr">
        <is>
          <t>planned hours &gt; 0</t>
        </is>
      </c>
    </row>
  </sheetData>
  <autoFilter ref="A1:FS17"/>
  <mergeCells count="1">
    <mergeCell ref="B20:L20"/>
  </mergeCells>
  <conditionalFormatting sqref="M2:FS2">
    <cfRule type="cellIs" priority="17" operator="greaterThan" dxfId="10">
      <formula>0</formula>
    </cfRule>
  </conditionalFormatting>
  <conditionalFormatting sqref="M3:FS4">
    <cfRule type="cellIs" priority="18" operator="greaterThan" dxfId="5">
      <formula>0</formula>
    </cfRule>
  </conditionalFormatting>
  <conditionalFormatting sqref="M5:FS5">
    <cfRule type="cellIs" priority="20" operator="greaterThan" dxfId="1">
      <formula>0</formula>
    </cfRule>
  </conditionalFormatting>
  <conditionalFormatting sqref="M6:FS6">
    <cfRule type="cellIs" priority="21" operator="greaterThan" dxfId="5">
      <formula>0</formula>
    </cfRule>
  </conditionalFormatting>
  <conditionalFormatting sqref="M7:FS7">
    <cfRule type="cellIs" priority="22" operator="greaterThan" dxfId="4">
      <formula>0</formula>
    </cfRule>
  </conditionalFormatting>
  <conditionalFormatting sqref="M8:FS8">
    <cfRule type="cellIs" priority="23" operator="greaterThan" dxfId="5">
      <formula>0</formula>
    </cfRule>
  </conditionalFormatting>
  <conditionalFormatting sqref="M9:FS9">
    <cfRule type="cellIs" priority="24" operator="greaterThan" dxfId="4">
      <formula>0</formula>
    </cfRule>
  </conditionalFormatting>
  <conditionalFormatting sqref="M10:FS10">
    <cfRule type="cellIs" priority="25" operator="greaterThan" dxfId="3">
      <formula>0</formula>
    </cfRule>
  </conditionalFormatting>
  <conditionalFormatting sqref="M11:FS14">
    <cfRule type="cellIs" priority="26" operator="greaterThan" dxfId="2">
      <formula>0</formula>
    </cfRule>
  </conditionalFormatting>
  <conditionalFormatting sqref="M15:FS16">
    <cfRule type="cellIs" priority="30" operator="greaterThan" dxfId="1">
      <formula>0</formula>
    </cfRule>
  </conditionalFormatting>
  <conditionalFormatting sqref="M17:FS17">
    <cfRule type="cellIs" priority="32" operator="greater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style="38" min="1" max="1"/>
    <col width="42" customWidth="1" style="38" min="2" max="2"/>
  </cols>
  <sheetData>
    <row r="1">
      <c r="A1" s="1" t="inlineStr">
        <is>
          <t>任务</t>
        </is>
      </c>
      <c r="B1" s="1" t="inlineStr">
        <is>
          <t>必须满足的验收标准</t>
        </is>
      </c>
    </row>
    <row r="2" ht="57.6" customHeight="1" s="38">
      <c r="A2" s="2" t="inlineStr">
        <is>
          <t>M1 周→日订单生成</t>
        </is>
      </c>
      <c r="B2" s="2" t="inlineStr">
        <is>
          <t>周总量守恒；拆分只落在有效下单日；date=require_date；simulation_date=order_date；AO/normal 逻辑一致；随机数可复现；M3/M5 不受影响</t>
        </is>
      </c>
    </row>
    <row r="3" ht="28.8" customHeight="1" s="38">
      <c r="A3" s="2" t="inlineStr">
        <is>
          <t>M4 多产线排程</t>
        </is>
      </c>
      <c r="B3" s="2" t="inlineStr">
        <is>
          <t>一个 SKU 可多线生产；产能不超；换产逻辑正确；边界 case 通过</t>
        </is>
      </c>
    </row>
    <row r="4" ht="28.8" customHeight="1" s="38">
      <c r="A4" s="2" t="inlineStr">
        <is>
          <t>filtered DataFrame 优化</t>
        </is>
      </c>
      <c r="B4" s="2" t="inlineStr">
        <is>
          <t>无 chained assignment warning；无视图/副本不确定行为</t>
        </is>
      </c>
    </row>
    <row r="5" ht="28.8" customHeight="1" s="38">
      <c r="A5" s="2" t="inlineStr">
        <is>
          <t>避免逐日 append</t>
        </is>
      </c>
      <c r="B5" s="2" t="inlineStr">
        <is>
          <t>热点路径不再循环 append；性能 benchmark 有改善</t>
        </is>
      </c>
    </row>
    <row r="6" ht="28.8" customHeight="1" s="38">
      <c r="A6" s="2" t="inlineStr">
        <is>
          <t>输入校验</t>
        </is>
      </c>
      <c r="B6" s="2" t="inlineStr">
        <is>
          <t>缺字段、错类型、非法范围、网络不一致均可识别</t>
        </is>
      </c>
    </row>
    <row r="7" ht="28.8" customHeight="1" s="38">
      <c r="A7" s="2" t="inlineStr">
        <is>
          <t>中间校验</t>
        </is>
      </c>
      <c r="B7" s="2" t="inlineStr">
        <is>
          <t>每日关键中间表可校验；错误定位到表/字段/日期</t>
        </is>
      </c>
    </row>
    <row r="8" ht="28.8" customHeight="1" s="38">
      <c r="A8" s="2" t="inlineStr">
        <is>
          <t>E2E 测试网络</t>
        </is>
      </c>
      <c r="B8" s="2" t="inlineStr">
        <is>
          <t>30 天仿真稳定跑通；库存平衡；关键 KPI 可解释</t>
        </is>
      </c>
    </row>
    <row r="9" ht="28.8" customHeight="1" s="38">
      <c r="A9" s="2" t="inlineStr">
        <is>
          <t>回测文档</t>
        </is>
      </c>
      <c r="B9" s="2" t="inlineStr">
        <is>
          <t>simulated vs actual KPI 有图表、有偏差解释</t>
        </is>
      </c>
    </row>
    <row r="10" ht="28.8" customHeight="1" s="38">
      <c r="A10" s="2" t="inlineStr">
        <is>
          <t>trade-off 分析</t>
        </is>
      </c>
      <c r="B10" s="2" t="inlineStr">
        <is>
          <t>cost/cash/service 指标定义清晰，场景结果可复现</t>
        </is>
      </c>
    </row>
    <row r="11">
      <c r="A11" s="2" t="inlineStr">
        <is>
          <t>PG 分布分析</t>
        </is>
      </c>
      <c r="B11" s="2" t="inlineStr">
        <is>
          <t>主要字段分布、异常、建模影响均记录</t>
        </is>
      </c>
    </row>
    <row r="12">
      <c r="A12" s="2" t="inlineStr">
        <is>
          <t>scope 文档</t>
        </is>
      </c>
      <c r="B12" s="2" t="inlineStr">
        <is>
          <t>范围、问题、成功标准、非目标明确</t>
        </is>
      </c>
    </row>
    <row r="13">
      <c r="A13" s="2" t="inlineStr">
        <is>
          <t>最终验收</t>
        </is>
      </c>
      <c r="B13" s="2" t="inlineStr">
        <is>
          <t>代码、验证、测试、文档、风险关闭全部完成</t>
        </is>
      </c>
    </row>
  </sheetData>
  <autoFilter ref="A1:B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style="38" min="1" max="1"/>
    <col width="46" customWidth="1" style="38" min="2" max="2"/>
  </cols>
  <sheetData>
    <row r="1">
      <c r="A1" s="1" t="inlineStr">
        <is>
          <t>机制</t>
        </is>
      </c>
      <c r="B1" s="1" t="inlineStr">
        <is>
          <t>说明</t>
        </is>
      </c>
    </row>
    <row r="2">
      <c r="A2" s="2" t="inlineStr">
        <is>
          <t>基线先行</t>
        </is>
      </c>
      <c r="B2" s="2" t="inlineStr">
        <is>
          <t>每项优化前先记录原始耗时、行数、输出 hash</t>
        </is>
      </c>
    </row>
    <row r="3">
      <c r="A3" s="2" t="inlineStr">
        <is>
          <t>向量化优先</t>
        </is>
      </c>
      <c r="B3" s="2" t="inlineStr">
        <is>
          <t>DataFrame 构造使用批量生成，不逐日 append</t>
        </is>
      </c>
    </row>
    <row r="4">
      <c r="A4" s="2" t="inlineStr">
        <is>
          <t>缓存重复计算</t>
        </is>
      </c>
      <c r="B4" s="2" t="inlineStr">
        <is>
          <t>周→日预测、静态配置、索引映射只算一次</t>
        </is>
      </c>
    </row>
    <row r="5" ht="28.8" customHeight="1" s="38">
      <c r="A5" s="2" t="inlineStr">
        <is>
          <t>Numba/NumPy 加速</t>
        </is>
      </c>
      <c r="B5" s="2" t="inlineStr">
        <is>
          <t>对存在顺序依赖的循环，用 JIT/数组方式加速</t>
        </is>
      </c>
    </row>
    <row r="6" ht="28.8" customHeight="1" s="38">
      <c r="A6" s="2" t="inlineStr">
        <is>
          <t>回归对比</t>
        </is>
      </c>
      <c r="B6" s="2" t="inlineStr">
        <is>
          <t>每项改动后对比 OrderLog、SupplyDemandLog、ShipmentLog</t>
        </is>
      </c>
    </row>
    <row r="7">
      <c r="A7" s="2" t="inlineStr">
        <is>
          <t>性能门禁</t>
        </is>
      </c>
      <c r="B7" s="2" t="inlineStr">
        <is>
          <t>优化后不得慢于基线；核心模块需记录平均耗时</t>
        </is>
      </c>
    </row>
    <row r="8">
      <c r="A8" s="2" t="inlineStr">
        <is>
          <t>fallback 开关</t>
        </is>
      </c>
      <c r="B8" s="2" t="inlineStr">
        <is>
          <t>高风险优化必须保留旧逻辑开关回退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2026-05-06T10:16:13Z</dcterms:created>
  <dcterms:modified xsi:type="dcterms:W3CDTF">2026-05-09T01:32:21Z</dcterms:modified>
  <cp:lastModifiedBy>xiaoxiao chen</cp:lastModifiedBy>
</cp:coreProperties>
</file>