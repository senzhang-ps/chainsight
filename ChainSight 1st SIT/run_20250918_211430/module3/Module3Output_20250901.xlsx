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11430/module3/"/>
    </mc:Choice>
  </mc:AlternateContent>
  <xr:revisionPtr revIDLastSave="3" documentId="11_2B5983FF569850D7EC881FD04BCF20355DC1F8A4" xr6:coauthVersionLast="47" xr6:coauthVersionMax="47" xr10:uidLastSave="{39092E56-85ED-42FA-994F-4B98728997F0}"/>
  <bookViews>
    <workbookView xWindow="6855" yWindow="3405" windowWidth="20985" windowHeight="11295" xr2:uid="{00000000-000D-0000-FFFF-FFFF00000000}"/>
  </bookViews>
  <sheets>
    <sheet name="NetDem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F33" i="1" s="1"/>
  <c r="F24" i="1"/>
  <c r="G24" i="1" s="1"/>
  <c r="G23" i="1"/>
  <c r="F23" i="1"/>
  <c r="N18" i="1"/>
  <c r="F11" i="1"/>
  <c r="G33" i="1" l="1"/>
  <c r="G32" i="1"/>
  <c r="F32" i="1"/>
</calcChain>
</file>

<file path=xl/sharedStrings.xml><?xml version="1.0" encoding="utf-8"?>
<sst xmlns="http://schemas.openxmlformats.org/spreadsheetml/2006/main" count="60" uniqueCount="30">
  <si>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</si>
  <si>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</si>
  <si>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</si>
  <si>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</si>
  <si>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</si>
  <si>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</si>
  <si>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</si>
  <si>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</si>
  <si>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</si>
  <si>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</si>
  <si>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</si>
  <si>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</si>
  <si>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</si>
  <si>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</si>
  <si>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</si>
  <si>
    <t>Total Available = 期初库存 + 在途库存 + 今日收货 + 今日生产收货 + 未来确认生产 - 今日客户发货 - 今日调拨发运 - 开放调拨</t>
  </si>
  <si>
    <t>期初库存</t>
  </si>
  <si>
    <t>在途库存</t>
  </si>
  <si>
    <t>今日收获</t>
  </si>
  <si>
    <t>今日生产收货</t>
  </si>
  <si>
    <t>未来确认生产</t>
  </si>
  <si>
    <t>今日客户发货</t>
  </si>
  <si>
    <t>今日调拨发运</t>
  </si>
  <si>
    <t>开放调拨</t>
  </si>
  <si>
    <t>total ava.</t>
  </si>
  <si>
    <t>AO</t>
  </si>
  <si>
    <t>supplydemand</t>
  </si>
  <si>
    <t>safety</t>
  </si>
  <si>
    <t>gap</t>
  </si>
  <si>
    <t>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</si>
</sst>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3" workbookViewId="0">
      <selection activeCell="N27" sqref="N2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-1505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-735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-770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-800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-800</v>
      </c>
      <c r="G8" s="2">
        <v>45901</v>
      </c>
      <c r="H8">
        <v>5</v>
      </c>
    </row>
    <row r="11" spans="1:8" x14ac:dyDescent="0.25">
      <c r="F11" s="3">
        <f>F7-F8</f>
        <v>365</v>
      </c>
    </row>
    <row r="16" spans="1:8" x14ac:dyDescent="0.25">
      <c r="F16" t="s">
        <v>15</v>
      </c>
    </row>
    <row r="17" spans="4:14" x14ac:dyDescent="0.25"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</row>
    <row r="18" spans="4:14" x14ac:dyDescent="0.25">
      <c r="D18" s="3" t="s">
        <v>13</v>
      </c>
      <c r="E18" t="s">
        <v>24</v>
      </c>
      <c r="F18">
        <v>50</v>
      </c>
      <c r="G18">
        <v>20</v>
      </c>
      <c r="H18">
        <v>0</v>
      </c>
      <c r="I18">
        <v>0</v>
      </c>
      <c r="J18">
        <v>0</v>
      </c>
      <c r="K18">
        <v>50</v>
      </c>
      <c r="L18">
        <v>0</v>
      </c>
      <c r="M18">
        <v>0</v>
      </c>
      <c r="N18">
        <f>F18+G18+H18+I18+J18-K18-L18-M18</f>
        <v>20</v>
      </c>
    </row>
    <row r="21" spans="4:14" x14ac:dyDescent="0.25">
      <c r="F21" t="s">
        <v>25</v>
      </c>
      <c r="G21" t="s">
        <v>26</v>
      </c>
      <c r="H21" t="s">
        <v>27</v>
      </c>
    </row>
    <row r="22" spans="4:14" x14ac:dyDescent="0.25">
      <c r="F22">
        <v>10</v>
      </c>
      <c r="G22">
        <v>375</v>
      </c>
      <c r="H22">
        <v>0</v>
      </c>
    </row>
    <row r="23" spans="4:14" x14ac:dyDescent="0.25">
      <c r="E23" t="s">
        <v>28</v>
      </c>
      <c r="F23">
        <f>MAX(F22-N18,0)</f>
        <v>0</v>
      </c>
      <c r="G23" s="3">
        <f>MAX(G22-F24,0)</f>
        <v>365</v>
      </c>
      <c r="H23">
        <v>0</v>
      </c>
    </row>
    <row r="24" spans="4:14" x14ac:dyDescent="0.25">
      <c r="E24" t="s">
        <v>29</v>
      </c>
      <c r="F24">
        <f>MAX(N18-MIN(N18,F22),0)</f>
        <v>10</v>
      </c>
      <c r="G24">
        <f>MAX(F24-MIN(F24,G22),0)</f>
        <v>0</v>
      </c>
      <c r="H24">
        <v>0</v>
      </c>
    </row>
    <row r="26" spans="4:14" x14ac:dyDescent="0.25"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s="4" t="s">
        <v>22</v>
      </c>
      <c r="M26" t="s">
        <v>23</v>
      </c>
    </row>
    <row r="27" spans="4:14" x14ac:dyDescent="0.25">
      <c r="D27" s="5" t="s">
        <v>9</v>
      </c>
      <c r="E27" t="s">
        <v>24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 s="4">
        <v>100</v>
      </c>
      <c r="M27">
        <v>0</v>
      </c>
      <c r="N27">
        <f>F27+G27+H27+I27+J27-K27-L27-M27</f>
        <v>0</v>
      </c>
    </row>
    <row r="30" spans="4:14" x14ac:dyDescent="0.25">
      <c r="F30" t="s">
        <v>25</v>
      </c>
      <c r="G30" t="s">
        <v>26</v>
      </c>
      <c r="H30" t="s">
        <v>27</v>
      </c>
    </row>
    <row r="31" spans="4:14" x14ac:dyDescent="0.25">
      <c r="F31">
        <v>0</v>
      </c>
      <c r="G31">
        <v>800</v>
      </c>
      <c r="H31">
        <v>0</v>
      </c>
    </row>
    <row r="32" spans="4:14" x14ac:dyDescent="0.25">
      <c r="E32" t="s">
        <v>28</v>
      </c>
      <c r="F32">
        <f>MAX(F31-N27,0)</f>
        <v>0</v>
      </c>
      <c r="G32">
        <f>MAX(G31-F33,0)</f>
        <v>800</v>
      </c>
      <c r="H32">
        <v>0</v>
      </c>
    </row>
    <row r="33" spans="5:8" x14ac:dyDescent="0.25">
      <c r="E33" t="s">
        <v>29</v>
      </c>
      <c r="F33">
        <f>MAX(N27-MIN(N27,F31),0)</f>
        <v>0</v>
      </c>
      <c r="G33">
        <f>MAX(F33-MIN(F33,G31),0)</f>
        <v>0</v>
      </c>
      <c r="H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2025-09-18T13:14:34Z</dcterms:created>
  <dcterms:modified xsi:type="dcterms:W3CDTF">2025-09-18T13:22:29Z</dcterms:modified>
</cp:coreProperties>
</file>