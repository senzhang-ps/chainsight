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zhangs37\ai_chainsight\workspace\sdc-space-rccp-simulation-202605\deliverables\"/>
    </mc:Choice>
  </mc:AlternateContent>
  <xr:revisionPtr revIDLastSave="0" documentId="13_ncr:1_{26610DDE-F21A-430A-BD80-0F3F01A9E023}" xr6:coauthVersionLast="47" xr6:coauthVersionMax="47" xr10:uidLastSave="{00000000-0000-0000-0000-000000000000}"/>
  <bookViews>
    <workbookView xWindow="168" yWindow="-14028" windowWidth="21600" windowHeight="11304" activeTab="3" xr2:uid="{00000000-000D-0000-FFFF-FFFF00000000}"/>
  </bookViews>
  <sheets>
    <sheet name="metadata" sheetId="1" r:id="rId1"/>
    <sheet name="service_month_location" sheetId="2" r:id="rId2"/>
    <sheet name="rccp_month" sheetId="3" r:id="rId3"/>
    <sheet name="rccp_month_location" sheetId="4" r:id="rId4"/>
    <sheet name="lane_leadtime" sheetId="5" r:id="rId5"/>
    <sheet name="leadtime_summary" sheetId="6" r:id="rId6"/>
    <sheet name="conversion_coverage" sheetId="7" r:id="rId7"/>
  </sheets>
  <definedNames>
    <definedName name="_xlnm._FilterDatabase" localSheetId="3" hidden="1">rccp_month_location!$A$1:$D$73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4" l="1"/>
  <c r="E52" i="4"/>
  <c r="E53" i="4"/>
  <c r="E54" i="4"/>
  <c r="E55" i="4"/>
  <c r="E56" i="4"/>
  <c r="E57" i="4"/>
  <c r="E58" i="4"/>
  <c r="E59" i="4"/>
  <c r="E60" i="4"/>
  <c r="E61" i="4"/>
  <c r="E50" i="4"/>
</calcChain>
</file>

<file path=xl/sharedStrings.xml><?xml version="1.0" encoding="utf-8"?>
<sst xmlns="http://schemas.openxmlformats.org/spreadsheetml/2006/main" count="448" uniqueCount="86">
  <si>
    <t>field</t>
  </si>
  <si>
    <t>value</t>
  </si>
  <si>
    <t>project</t>
  </si>
  <si>
    <t>sdc-space-rccp-simulation-202605</t>
  </si>
  <si>
    <t>scenario</t>
  </si>
  <si>
    <t>baseline-current-params-should-be-rccp-otd</t>
  </si>
  <si>
    <t>run_id</t>
  </si>
  <si>
    <t>db_baseline-current-params-should-be-rccp-otd_20260515_195204</t>
  </si>
  <si>
    <t>config_name</t>
  </si>
  <si>
    <t>inventory_start_date</t>
  </si>
  <si>
    <t>inventory_end_date</t>
  </si>
  <si>
    <t>delivery_start_date</t>
  </si>
  <si>
    <t>delivery_end_date</t>
  </si>
  <si>
    <t>generated_at</t>
  </si>
  <si>
    <t>2026-05-18T11:08:47</t>
  </si>
  <si>
    <t>month</t>
  </si>
  <si>
    <t>receiving</t>
  </si>
  <si>
    <t>shipment_qty</t>
  </si>
  <si>
    <t>order_qty</t>
  </si>
  <si>
    <t>cfr</t>
  </si>
  <si>
    <t>2026-06</t>
  </si>
  <si>
    <t>C819</t>
  </si>
  <si>
    <t>C937</t>
  </si>
  <si>
    <t>D767</t>
  </si>
  <si>
    <t>E556-QD</t>
  </si>
  <si>
    <t>E556-ZZ</t>
  </si>
  <si>
    <t>E560</t>
  </si>
  <si>
    <t>E564-FZ</t>
  </si>
  <si>
    <t>E564-NC</t>
  </si>
  <si>
    <t>E568</t>
  </si>
  <si>
    <t>E569-CQ</t>
  </si>
  <si>
    <t>E569-GY</t>
  </si>
  <si>
    <t>E569-KM</t>
  </si>
  <si>
    <t>2026-07</t>
  </si>
  <si>
    <t>2026-08</t>
  </si>
  <si>
    <t>2026-09</t>
  </si>
  <si>
    <t>2026-10</t>
  </si>
  <si>
    <t>2026-11</t>
  </si>
  <si>
    <t>2026-12</t>
  </si>
  <si>
    <t>peak_date</t>
  </si>
  <si>
    <t>peak_cbm</t>
  </si>
  <si>
    <t>location</t>
  </si>
  <si>
    <t>sending</t>
  </si>
  <si>
    <t>deployment_count</t>
  </si>
  <si>
    <t>total_qty</t>
  </si>
  <si>
    <t>mean_wait_moq_days</t>
  </si>
  <si>
    <t>median_wait_moq_days</t>
  </si>
  <si>
    <t>p90_wait_moq_days</t>
  </si>
  <si>
    <t>mean_otd_days</t>
  </si>
  <si>
    <t>median_otd_days</t>
  </si>
  <si>
    <t>p90_otd_days</t>
  </si>
  <si>
    <t>mean_total_days</t>
  </si>
  <si>
    <t>median_total_days</t>
  </si>
  <si>
    <t>p90_total_days</t>
  </si>
  <si>
    <t>cfg_pdt_days</t>
  </si>
  <si>
    <t>cfg_gr_days</t>
  </si>
  <si>
    <t>cfg_mct_days</t>
  </si>
  <si>
    <t>cfg_otd_days</t>
  </si>
  <si>
    <t>cfg_total_days</t>
  </si>
  <si>
    <t>mean_gap_vs_cfg_days</t>
  </si>
  <si>
    <t>C816</t>
  </si>
  <si>
    <t>C810</t>
  </si>
  <si>
    <t>5730</t>
  </si>
  <si>
    <t>A673</t>
  </si>
  <si>
    <t>A672</t>
  </si>
  <si>
    <t>5204</t>
  </si>
  <si>
    <t>C339</t>
  </si>
  <si>
    <t>E499</t>
  </si>
  <si>
    <t>D235</t>
  </si>
  <si>
    <t>deployment_events</t>
  </si>
  <si>
    <t>inventory_materials</t>
  </si>
  <si>
    <t>materials_with_volume</t>
  </si>
  <si>
    <t>zero_or_missing_volume_materials</t>
  </si>
  <si>
    <t>qty_with_volume_ratio</t>
  </si>
  <si>
    <t>济南</t>
  </si>
  <si>
    <t>长沙</t>
  </si>
  <si>
    <t>南宁</t>
  </si>
  <si>
    <t>青岛</t>
  </si>
  <si>
    <t>郑州</t>
  </si>
  <si>
    <t>哈尔滨</t>
  </si>
  <si>
    <t>福州</t>
  </si>
  <si>
    <t>南昌</t>
  </si>
  <si>
    <t>新疆</t>
  </si>
  <si>
    <t>重庆</t>
  </si>
  <si>
    <t>贵阳</t>
  </si>
  <si>
    <t>昆明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</si>
</sst>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5</v>
      </c>
    </row>
    <row r="6" spans="1:2" x14ac:dyDescent="0.3">
      <c r="A6" t="s">
        <v>9</v>
      </c>
      <c r="B6" s="2">
        <v>46202</v>
      </c>
    </row>
    <row r="7" spans="1:2" x14ac:dyDescent="0.3">
      <c r="A7" t="s">
        <v>10</v>
      </c>
      <c r="B7" s="2">
        <v>46344</v>
      </c>
    </row>
    <row r="8" spans="1:2" x14ac:dyDescent="0.3">
      <c r="A8" t="s">
        <v>11</v>
      </c>
      <c r="B8" s="2">
        <v>46202</v>
      </c>
    </row>
    <row r="9" spans="1:2" x14ac:dyDescent="0.3">
      <c r="A9" t="s">
        <v>12</v>
      </c>
      <c r="B9" s="2">
        <v>46347</v>
      </c>
    </row>
    <row r="10" spans="1:2" x14ac:dyDescent="0.3">
      <c r="A10" t="s">
        <v>13</v>
      </c>
      <c r="B10" t="s">
        <v>14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5"/>
  <sheetViews>
    <sheetView workbookViewId="0"/>
  </sheetViews>
  <sheetFormatPr defaultRowHeight="14.4" x14ac:dyDescent="0.3"/>
  <sheetData>
    <row r="1" spans="1:5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3">
      <c r="A2" t="s">
        <v>20</v>
      </c>
      <c r="B2" t="s">
        <v>21</v>
      </c>
      <c r="C2">
        <v>4436</v>
      </c>
      <c r="D2">
        <v>4436</v>
      </c>
      <c r="E2">
        <v>1</v>
      </c>
    </row>
    <row r="3" spans="1:5" x14ac:dyDescent="0.3">
      <c r="A3" t="s">
        <v>20</v>
      </c>
      <c r="B3" t="s">
        <v>22</v>
      </c>
      <c r="C3">
        <v>6059</v>
      </c>
      <c r="D3">
        <v>6060</v>
      </c>
      <c r="E3">
        <v>0.99980000000000002</v>
      </c>
    </row>
    <row r="4" spans="1:5" x14ac:dyDescent="0.3">
      <c r="A4" t="s">
        <v>20</v>
      </c>
      <c r="B4" t="s">
        <v>23</v>
      </c>
      <c r="C4">
        <v>10656</v>
      </c>
      <c r="D4">
        <v>10661</v>
      </c>
      <c r="E4">
        <v>0.99950000000000006</v>
      </c>
    </row>
    <row r="5" spans="1:5" x14ac:dyDescent="0.3">
      <c r="A5" t="s">
        <v>20</v>
      </c>
      <c r="B5" t="s">
        <v>24</v>
      </c>
      <c r="C5">
        <v>1898</v>
      </c>
      <c r="D5">
        <v>1898</v>
      </c>
      <c r="E5">
        <v>1</v>
      </c>
    </row>
    <row r="6" spans="1:5" x14ac:dyDescent="0.3">
      <c r="A6" t="s">
        <v>20</v>
      </c>
      <c r="B6" t="s">
        <v>25</v>
      </c>
      <c r="C6">
        <v>5068</v>
      </c>
      <c r="D6">
        <v>5069</v>
      </c>
      <c r="E6">
        <v>0.99980000000000002</v>
      </c>
    </row>
    <row r="7" spans="1:5" x14ac:dyDescent="0.3">
      <c r="A7" t="s">
        <v>20</v>
      </c>
      <c r="B7" t="s">
        <v>26</v>
      </c>
      <c r="C7">
        <v>1214</v>
      </c>
      <c r="D7">
        <v>1214</v>
      </c>
      <c r="E7">
        <v>1</v>
      </c>
    </row>
    <row r="8" spans="1:5" x14ac:dyDescent="0.3">
      <c r="A8" t="s">
        <v>20</v>
      </c>
      <c r="B8" t="s">
        <v>27</v>
      </c>
      <c r="C8">
        <v>5579</v>
      </c>
      <c r="D8">
        <v>5580</v>
      </c>
      <c r="E8">
        <v>0.99980000000000002</v>
      </c>
    </row>
    <row r="9" spans="1:5" x14ac:dyDescent="0.3">
      <c r="A9" t="s">
        <v>20</v>
      </c>
      <c r="B9" t="s">
        <v>28</v>
      </c>
      <c r="C9">
        <v>3801</v>
      </c>
      <c r="D9">
        <v>3801</v>
      </c>
      <c r="E9">
        <v>1</v>
      </c>
    </row>
    <row r="10" spans="1:5" x14ac:dyDescent="0.3">
      <c r="A10" t="s">
        <v>20</v>
      </c>
      <c r="B10" t="s">
        <v>29</v>
      </c>
      <c r="C10">
        <v>3162</v>
      </c>
      <c r="D10">
        <v>3162</v>
      </c>
      <c r="E10">
        <v>1</v>
      </c>
    </row>
    <row r="11" spans="1:5" x14ac:dyDescent="0.3">
      <c r="A11" t="s">
        <v>20</v>
      </c>
      <c r="B11" t="s">
        <v>30</v>
      </c>
      <c r="C11">
        <v>8030</v>
      </c>
      <c r="D11">
        <v>8032</v>
      </c>
      <c r="E11">
        <v>0.99980000000000002</v>
      </c>
    </row>
    <row r="12" spans="1:5" x14ac:dyDescent="0.3">
      <c r="A12" t="s">
        <v>20</v>
      </c>
      <c r="B12" t="s">
        <v>31</v>
      </c>
      <c r="C12">
        <v>6220</v>
      </c>
      <c r="D12">
        <v>6220</v>
      </c>
      <c r="E12">
        <v>1</v>
      </c>
    </row>
    <row r="13" spans="1:5" x14ac:dyDescent="0.3">
      <c r="A13" t="s">
        <v>20</v>
      </c>
      <c r="B13" t="s">
        <v>32</v>
      </c>
      <c r="C13">
        <v>8195</v>
      </c>
      <c r="D13">
        <v>8195</v>
      </c>
      <c r="E13">
        <v>1</v>
      </c>
    </row>
    <row r="14" spans="1:5" x14ac:dyDescent="0.3">
      <c r="A14" t="s">
        <v>33</v>
      </c>
      <c r="B14" t="s">
        <v>21</v>
      </c>
      <c r="C14">
        <v>91176</v>
      </c>
      <c r="D14">
        <v>97101</v>
      </c>
      <c r="E14">
        <v>0.93899999999999995</v>
      </c>
    </row>
    <row r="15" spans="1:5" x14ac:dyDescent="0.3">
      <c r="A15" t="s">
        <v>33</v>
      </c>
      <c r="B15" t="s">
        <v>22</v>
      </c>
      <c r="C15">
        <v>110904</v>
      </c>
      <c r="D15">
        <v>123172</v>
      </c>
      <c r="E15">
        <v>0.90039999999999998</v>
      </c>
    </row>
    <row r="16" spans="1:5" x14ac:dyDescent="0.3">
      <c r="A16" t="s">
        <v>33</v>
      </c>
      <c r="B16" t="s">
        <v>23</v>
      </c>
      <c r="C16">
        <v>276808</v>
      </c>
      <c r="D16">
        <v>294609</v>
      </c>
      <c r="E16">
        <v>0.93959999999999999</v>
      </c>
    </row>
    <row r="17" spans="1:5" x14ac:dyDescent="0.3">
      <c r="A17" t="s">
        <v>33</v>
      </c>
      <c r="B17" t="s">
        <v>24</v>
      </c>
      <c r="C17">
        <v>39043</v>
      </c>
      <c r="D17">
        <v>43774</v>
      </c>
      <c r="E17">
        <v>0.89190000000000003</v>
      </c>
    </row>
    <row r="18" spans="1:5" x14ac:dyDescent="0.3">
      <c r="A18" t="s">
        <v>33</v>
      </c>
      <c r="B18" t="s">
        <v>25</v>
      </c>
      <c r="C18">
        <v>111468</v>
      </c>
      <c r="D18">
        <v>112848</v>
      </c>
      <c r="E18">
        <v>0.98780000000000001</v>
      </c>
    </row>
    <row r="19" spans="1:5" x14ac:dyDescent="0.3">
      <c r="A19" t="s">
        <v>33</v>
      </c>
      <c r="B19" t="s">
        <v>26</v>
      </c>
      <c r="C19">
        <v>23682</v>
      </c>
      <c r="D19">
        <v>23935</v>
      </c>
      <c r="E19">
        <v>0.98939999999999995</v>
      </c>
    </row>
    <row r="20" spans="1:5" x14ac:dyDescent="0.3">
      <c r="A20" t="s">
        <v>33</v>
      </c>
      <c r="B20" t="s">
        <v>27</v>
      </c>
      <c r="C20">
        <v>104910</v>
      </c>
      <c r="D20">
        <v>114465</v>
      </c>
      <c r="E20">
        <v>0.91649999999999998</v>
      </c>
    </row>
    <row r="21" spans="1:5" x14ac:dyDescent="0.3">
      <c r="A21" t="s">
        <v>33</v>
      </c>
      <c r="B21" t="s">
        <v>28</v>
      </c>
      <c r="C21">
        <v>71708</v>
      </c>
      <c r="D21">
        <v>75719</v>
      </c>
      <c r="E21">
        <v>0.94699999999999995</v>
      </c>
    </row>
    <row r="22" spans="1:5" x14ac:dyDescent="0.3">
      <c r="A22" t="s">
        <v>33</v>
      </c>
      <c r="B22" t="s">
        <v>29</v>
      </c>
      <c r="C22">
        <v>66673</v>
      </c>
      <c r="D22">
        <v>70653</v>
      </c>
      <c r="E22">
        <v>0.94369999999999998</v>
      </c>
    </row>
    <row r="23" spans="1:5" x14ac:dyDescent="0.3">
      <c r="A23" t="s">
        <v>33</v>
      </c>
      <c r="B23" t="s">
        <v>30</v>
      </c>
      <c r="C23">
        <v>175550</v>
      </c>
      <c r="D23">
        <v>186882</v>
      </c>
      <c r="E23">
        <v>0.93940000000000001</v>
      </c>
    </row>
    <row r="24" spans="1:5" x14ac:dyDescent="0.3">
      <c r="A24" t="s">
        <v>33</v>
      </c>
      <c r="B24" t="s">
        <v>31</v>
      </c>
      <c r="C24">
        <v>110537</v>
      </c>
      <c r="D24">
        <v>128996</v>
      </c>
      <c r="E24">
        <v>0.8569</v>
      </c>
    </row>
    <row r="25" spans="1:5" x14ac:dyDescent="0.3">
      <c r="A25" t="s">
        <v>33</v>
      </c>
      <c r="B25" t="s">
        <v>32</v>
      </c>
      <c r="C25">
        <v>144388</v>
      </c>
      <c r="D25">
        <v>161371</v>
      </c>
      <c r="E25">
        <v>0.89480000000000004</v>
      </c>
    </row>
    <row r="26" spans="1:5" x14ac:dyDescent="0.3">
      <c r="A26" t="s">
        <v>34</v>
      </c>
      <c r="B26" t="s">
        <v>21</v>
      </c>
      <c r="C26">
        <v>93454</v>
      </c>
      <c r="D26">
        <v>101622</v>
      </c>
      <c r="E26">
        <v>0.91959999999999997</v>
      </c>
    </row>
    <row r="27" spans="1:5" x14ac:dyDescent="0.3">
      <c r="A27" t="s">
        <v>34</v>
      </c>
      <c r="B27" t="s">
        <v>22</v>
      </c>
      <c r="C27">
        <v>104424</v>
      </c>
      <c r="D27">
        <v>129035</v>
      </c>
      <c r="E27">
        <v>0.80930000000000002</v>
      </c>
    </row>
    <row r="28" spans="1:5" x14ac:dyDescent="0.3">
      <c r="A28" t="s">
        <v>34</v>
      </c>
      <c r="B28" t="s">
        <v>23</v>
      </c>
      <c r="C28">
        <v>285833</v>
      </c>
      <c r="D28">
        <v>312181</v>
      </c>
      <c r="E28">
        <v>0.91559999999999997</v>
      </c>
    </row>
    <row r="29" spans="1:5" x14ac:dyDescent="0.3">
      <c r="A29" t="s">
        <v>34</v>
      </c>
      <c r="B29" t="s">
        <v>24</v>
      </c>
      <c r="C29">
        <v>41548</v>
      </c>
      <c r="D29">
        <v>48501</v>
      </c>
      <c r="E29">
        <v>0.85660000000000003</v>
      </c>
    </row>
    <row r="30" spans="1:5" x14ac:dyDescent="0.3">
      <c r="A30" t="s">
        <v>34</v>
      </c>
      <c r="B30" t="s">
        <v>25</v>
      </c>
      <c r="C30">
        <v>108852</v>
      </c>
      <c r="D30">
        <v>121284</v>
      </c>
      <c r="E30">
        <v>0.89749999999999996</v>
      </c>
    </row>
    <row r="31" spans="1:5" x14ac:dyDescent="0.3">
      <c r="A31" t="s">
        <v>34</v>
      </c>
      <c r="B31" t="s">
        <v>26</v>
      </c>
      <c r="C31">
        <v>23311</v>
      </c>
      <c r="D31">
        <v>26603</v>
      </c>
      <c r="E31">
        <v>0.87629999999999997</v>
      </c>
    </row>
    <row r="32" spans="1:5" x14ac:dyDescent="0.3">
      <c r="A32" t="s">
        <v>34</v>
      </c>
      <c r="B32" t="s">
        <v>27</v>
      </c>
      <c r="C32">
        <v>96116</v>
      </c>
      <c r="D32">
        <v>117329</v>
      </c>
      <c r="E32">
        <v>0.81920000000000004</v>
      </c>
    </row>
    <row r="33" spans="1:5" x14ac:dyDescent="0.3">
      <c r="A33" t="s">
        <v>34</v>
      </c>
      <c r="B33" t="s">
        <v>28</v>
      </c>
      <c r="C33">
        <v>56455</v>
      </c>
      <c r="D33">
        <v>76817</v>
      </c>
      <c r="E33">
        <v>0.7349</v>
      </c>
    </row>
    <row r="34" spans="1:5" x14ac:dyDescent="0.3">
      <c r="A34" t="s">
        <v>34</v>
      </c>
      <c r="B34" t="s">
        <v>29</v>
      </c>
      <c r="C34">
        <v>62141</v>
      </c>
      <c r="D34">
        <v>76335</v>
      </c>
      <c r="E34">
        <v>0.81410000000000005</v>
      </c>
    </row>
    <row r="35" spans="1:5" x14ac:dyDescent="0.3">
      <c r="A35" t="s">
        <v>34</v>
      </c>
      <c r="B35" t="s">
        <v>30</v>
      </c>
      <c r="C35">
        <v>178083</v>
      </c>
      <c r="D35">
        <v>197646</v>
      </c>
      <c r="E35">
        <v>0.90100000000000002</v>
      </c>
    </row>
    <row r="36" spans="1:5" x14ac:dyDescent="0.3">
      <c r="A36" t="s">
        <v>34</v>
      </c>
      <c r="B36" t="s">
        <v>31</v>
      </c>
      <c r="C36">
        <v>105866</v>
      </c>
      <c r="D36">
        <v>133935</v>
      </c>
      <c r="E36">
        <v>0.79039999999999999</v>
      </c>
    </row>
    <row r="37" spans="1:5" x14ac:dyDescent="0.3">
      <c r="A37" t="s">
        <v>34</v>
      </c>
      <c r="B37" t="s">
        <v>32</v>
      </c>
      <c r="C37">
        <v>132459</v>
      </c>
      <c r="D37">
        <v>163924</v>
      </c>
      <c r="E37">
        <v>0.80810000000000004</v>
      </c>
    </row>
    <row r="38" spans="1:5" x14ac:dyDescent="0.3">
      <c r="A38" t="s">
        <v>35</v>
      </c>
      <c r="B38" t="s">
        <v>21</v>
      </c>
      <c r="C38">
        <v>87172</v>
      </c>
      <c r="D38">
        <v>95992</v>
      </c>
      <c r="E38">
        <v>0.90810000000000002</v>
      </c>
    </row>
    <row r="39" spans="1:5" x14ac:dyDescent="0.3">
      <c r="A39" t="s">
        <v>35</v>
      </c>
      <c r="B39" t="s">
        <v>22</v>
      </c>
      <c r="C39">
        <v>103241</v>
      </c>
      <c r="D39">
        <v>127330</v>
      </c>
      <c r="E39">
        <v>0.81079999999999997</v>
      </c>
    </row>
    <row r="40" spans="1:5" x14ac:dyDescent="0.3">
      <c r="A40" t="s">
        <v>35</v>
      </c>
      <c r="B40" t="s">
        <v>23</v>
      </c>
      <c r="C40">
        <v>263959</v>
      </c>
      <c r="D40">
        <v>290306</v>
      </c>
      <c r="E40">
        <v>0.90920000000000001</v>
      </c>
    </row>
    <row r="41" spans="1:5" x14ac:dyDescent="0.3">
      <c r="A41" t="s">
        <v>35</v>
      </c>
      <c r="B41" t="s">
        <v>24</v>
      </c>
      <c r="C41">
        <v>38327</v>
      </c>
      <c r="D41">
        <v>46208</v>
      </c>
      <c r="E41">
        <v>0.82940000000000003</v>
      </c>
    </row>
    <row r="42" spans="1:5" x14ac:dyDescent="0.3">
      <c r="A42" t="s">
        <v>35</v>
      </c>
      <c r="B42" t="s">
        <v>25</v>
      </c>
      <c r="C42">
        <v>102248</v>
      </c>
      <c r="D42">
        <v>115439</v>
      </c>
      <c r="E42">
        <v>0.88570000000000004</v>
      </c>
    </row>
    <row r="43" spans="1:5" x14ac:dyDescent="0.3">
      <c r="A43" t="s">
        <v>35</v>
      </c>
      <c r="B43" t="s">
        <v>26</v>
      </c>
      <c r="C43">
        <v>23669</v>
      </c>
      <c r="D43">
        <v>26828</v>
      </c>
      <c r="E43">
        <v>0.88219999999999998</v>
      </c>
    </row>
    <row r="44" spans="1:5" x14ac:dyDescent="0.3">
      <c r="A44" t="s">
        <v>35</v>
      </c>
      <c r="B44" t="s">
        <v>27</v>
      </c>
      <c r="C44">
        <v>89419</v>
      </c>
      <c r="D44">
        <v>108591</v>
      </c>
      <c r="E44">
        <v>0.82340000000000002</v>
      </c>
    </row>
    <row r="45" spans="1:5" x14ac:dyDescent="0.3">
      <c r="A45" t="s">
        <v>35</v>
      </c>
      <c r="B45" t="s">
        <v>28</v>
      </c>
      <c r="C45">
        <v>51955</v>
      </c>
      <c r="D45">
        <v>70839</v>
      </c>
      <c r="E45">
        <v>0.73340000000000005</v>
      </c>
    </row>
    <row r="46" spans="1:5" x14ac:dyDescent="0.3">
      <c r="A46" t="s">
        <v>35</v>
      </c>
      <c r="B46" t="s">
        <v>29</v>
      </c>
      <c r="C46">
        <v>60785</v>
      </c>
      <c r="D46">
        <v>74395</v>
      </c>
      <c r="E46">
        <v>0.81710000000000005</v>
      </c>
    </row>
    <row r="47" spans="1:5" x14ac:dyDescent="0.3">
      <c r="A47" t="s">
        <v>35</v>
      </c>
      <c r="B47" t="s">
        <v>30</v>
      </c>
      <c r="C47">
        <v>166447</v>
      </c>
      <c r="D47">
        <v>184347</v>
      </c>
      <c r="E47">
        <v>0.90290000000000004</v>
      </c>
    </row>
    <row r="48" spans="1:5" x14ac:dyDescent="0.3">
      <c r="A48" t="s">
        <v>35</v>
      </c>
      <c r="B48" t="s">
        <v>31</v>
      </c>
      <c r="C48">
        <v>99927</v>
      </c>
      <c r="D48">
        <v>125212</v>
      </c>
      <c r="E48">
        <v>0.79810000000000003</v>
      </c>
    </row>
    <row r="49" spans="1:5" x14ac:dyDescent="0.3">
      <c r="A49" t="s">
        <v>35</v>
      </c>
      <c r="B49" t="s">
        <v>32</v>
      </c>
      <c r="C49">
        <v>123591</v>
      </c>
      <c r="D49">
        <v>152972</v>
      </c>
      <c r="E49">
        <v>0.80789999999999995</v>
      </c>
    </row>
    <row r="50" spans="1:5" x14ac:dyDescent="0.3">
      <c r="A50" t="s">
        <v>36</v>
      </c>
      <c r="B50" t="s">
        <v>21</v>
      </c>
      <c r="C50">
        <v>83800</v>
      </c>
      <c r="D50">
        <v>89177</v>
      </c>
      <c r="E50">
        <v>0.93969999999999998</v>
      </c>
    </row>
    <row r="51" spans="1:5" x14ac:dyDescent="0.3">
      <c r="A51" t="s">
        <v>36</v>
      </c>
      <c r="B51" t="s">
        <v>22</v>
      </c>
      <c r="C51">
        <v>121890</v>
      </c>
      <c r="D51">
        <v>136334</v>
      </c>
      <c r="E51">
        <v>0.89410000000000001</v>
      </c>
    </row>
    <row r="52" spans="1:5" x14ac:dyDescent="0.3">
      <c r="A52" t="s">
        <v>36</v>
      </c>
      <c r="B52" t="s">
        <v>23</v>
      </c>
      <c r="C52">
        <v>269097</v>
      </c>
      <c r="D52">
        <v>288812</v>
      </c>
      <c r="E52">
        <v>0.93169999999999997</v>
      </c>
    </row>
    <row r="53" spans="1:5" x14ac:dyDescent="0.3">
      <c r="A53" t="s">
        <v>36</v>
      </c>
      <c r="B53" t="s">
        <v>24</v>
      </c>
      <c r="C53">
        <v>38195</v>
      </c>
      <c r="D53">
        <v>43421</v>
      </c>
      <c r="E53">
        <v>0.87960000000000005</v>
      </c>
    </row>
    <row r="54" spans="1:5" x14ac:dyDescent="0.3">
      <c r="A54" t="s">
        <v>36</v>
      </c>
      <c r="B54" t="s">
        <v>25</v>
      </c>
      <c r="C54">
        <v>100588</v>
      </c>
      <c r="D54">
        <v>110188</v>
      </c>
      <c r="E54">
        <v>0.91290000000000004</v>
      </c>
    </row>
    <row r="55" spans="1:5" x14ac:dyDescent="0.3">
      <c r="A55" t="s">
        <v>36</v>
      </c>
      <c r="B55" t="s">
        <v>26</v>
      </c>
      <c r="C55">
        <v>27324</v>
      </c>
      <c r="D55">
        <v>31674</v>
      </c>
      <c r="E55">
        <v>0.86270000000000002</v>
      </c>
    </row>
    <row r="56" spans="1:5" x14ac:dyDescent="0.3">
      <c r="A56" t="s">
        <v>36</v>
      </c>
      <c r="B56" t="s">
        <v>27</v>
      </c>
      <c r="C56">
        <v>86176</v>
      </c>
      <c r="D56">
        <v>100294</v>
      </c>
      <c r="E56">
        <v>0.85919999999999996</v>
      </c>
    </row>
    <row r="57" spans="1:5" x14ac:dyDescent="0.3">
      <c r="A57" t="s">
        <v>36</v>
      </c>
      <c r="B57" t="s">
        <v>28</v>
      </c>
      <c r="C57">
        <v>51354</v>
      </c>
      <c r="D57">
        <v>65696</v>
      </c>
      <c r="E57">
        <v>0.78169999999999995</v>
      </c>
    </row>
    <row r="58" spans="1:5" x14ac:dyDescent="0.3">
      <c r="A58" t="s">
        <v>36</v>
      </c>
      <c r="B58" t="s">
        <v>29</v>
      </c>
      <c r="C58">
        <v>71236</v>
      </c>
      <c r="D58">
        <v>82476</v>
      </c>
      <c r="E58">
        <v>0.86370000000000002</v>
      </c>
    </row>
    <row r="59" spans="1:5" x14ac:dyDescent="0.3">
      <c r="A59" t="s">
        <v>36</v>
      </c>
      <c r="B59" t="s">
        <v>30</v>
      </c>
      <c r="C59">
        <v>177692</v>
      </c>
      <c r="D59">
        <v>192087</v>
      </c>
      <c r="E59">
        <v>0.92510000000000003</v>
      </c>
    </row>
    <row r="60" spans="1:5" x14ac:dyDescent="0.3">
      <c r="A60" t="s">
        <v>36</v>
      </c>
      <c r="B60" t="s">
        <v>31</v>
      </c>
      <c r="C60">
        <v>109839</v>
      </c>
      <c r="D60">
        <v>130516</v>
      </c>
      <c r="E60">
        <v>0.84160000000000001</v>
      </c>
    </row>
    <row r="61" spans="1:5" x14ac:dyDescent="0.3">
      <c r="A61" t="s">
        <v>36</v>
      </c>
      <c r="B61" t="s">
        <v>32</v>
      </c>
      <c r="C61">
        <v>139136</v>
      </c>
      <c r="D61">
        <v>159661</v>
      </c>
      <c r="E61">
        <v>0.87139999999999995</v>
      </c>
    </row>
    <row r="62" spans="1:5" x14ac:dyDescent="0.3">
      <c r="A62" t="s">
        <v>37</v>
      </c>
      <c r="B62" t="s">
        <v>21</v>
      </c>
      <c r="C62">
        <v>43533</v>
      </c>
      <c r="D62">
        <v>45831</v>
      </c>
      <c r="E62">
        <v>0.94989999999999997</v>
      </c>
    </row>
    <row r="63" spans="1:5" x14ac:dyDescent="0.3">
      <c r="A63" t="s">
        <v>37</v>
      </c>
      <c r="B63" t="s">
        <v>22</v>
      </c>
      <c r="C63">
        <v>56582</v>
      </c>
      <c r="D63">
        <v>59093</v>
      </c>
      <c r="E63">
        <v>0.95750000000000002</v>
      </c>
    </row>
    <row r="64" spans="1:5" x14ac:dyDescent="0.3">
      <c r="A64" t="s">
        <v>37</v>
      </c>
      <c r="B64" t="s">
        <v>23</v>
      </c>
      <c r="C64">
        <v>142601</v>
      </c>
      <c r="D64">
        <v>159405</v>
      </c>
      <c r="E64">
        <v>0.89459999999999995</v>
      </c>
    </row>
    <row r="65" spans="1:5" x14ac:dyDescent="0.3">
      <c r="A65" t="s">
        <v>37</v>
      </c>
      <c r="B65" t="s">
        <v>24</v>
      </c>
      <c r="C65">
        <v>21780</v>
      </c>
      <c r="D65">
        <v>23504</v>
      </c>
      <c r="E65">
        <v>0.92669999999999997</v>
      </c>
    </row>
    <row r="66" spans="1:5" x14ac:dyDescent="0.3">
      <c r="A66" t="s">
        <v>37</v>
      </c>
      <c r="B66" t="s">
        <v>25</v>
      </c>
      <c r="C66">
        <v>54643</v>
      </c>
      <c r="D66">
        <v>59072</v>
      </c>
      <c r="E66">
        <v>0.92500000000000004</v>
      </c>
    </row>
    <row r="67" spans="1:5" x14ac:dyDescent="0.3">
      <c r="A67" t="s">
        <v>37</v>
      </c>
      <c r="B67" t="s">
        <v>26</v>
      </c>
      <c r="C67">
        <v>11543</v>
      </c>
      <c r="D67">
        <v>11880</v>
      </c>
      <c r="E67">
        <v>0.97160000000000002</v>
      </c>
    </row>
    <row r="68" spans="1:5" x14ac:dyDescent="0.3">
      <c r="A68" t="s">
        <v>37</v>
      </c>
      <c r="B68" t="s">
        <v>27</v>
      </c>
      <c r="C68">
        <v>49299</v>
      </c>
      <c r="D68">
        <v>53214</v>
      </c>
      <c r="E68">
        <v>0.9264</v>
      </c>
    </row>
    <row r="69" spans="1:5" x14ac:dyDescent="0.3">
      <c r="A69" t="s">
        <v>37</v>
      </c>
      <c r="B69" t="s">
        <v>28</v>
      </c>
      <c r="C69">
        <v>30041</v>
      </c>
      <c r="D69">
        <v>34370</v>
      </c>
      <c r="E69">
        <v>0.874</v>
      </c>
    </row>
    <row r="70" spans="1:5" x14ac:dyDescent="0.3">
      <c r="A70" t="s">
        <v>37</v>
      </c>
      <c r="B70" t="s">
        <v>29</v>
      </c>
      <c r="C70">
        <v>36622</v>
      </c>
      <c r="D70">
        <v>38738</v>
      </c>
      <c r="E70">
        <v>0.94540000000000002</v>
      </c>
    </row>
    <row r="71" spans="1:5" x14ac:dyDescent="0.3">
      <c r="A71" t="s">
        <v>37</v>
      </c>
      <c r="B71" t="s">
        <v>30</v>
      </c>
      <c r="C71">
        <v>88773</v>
      </c>
      <c r="D71">
        <v>97760</v>
      </c>
      <c r="E71">
        <v>0.90810000000000002</v>
      </c>
    </row>
    <row r="72" spans="1:5" x14ac:dyDescent="0.3">
      <c r="A72" t="s">
        <v>37</v>
      </c>
      <c r="B72" t="s">
        <v>31</v>
      </c>
      <c r="C72">
        <v>59116</v>
      </c>
      <c r="D72">
        <v>62336</v>
      </c>
      <c r="E72">
        <v>0.94830000000000003</v>
      </c>
    </row>
    <row r="73" spans="1:5" x14ac:dyDescent="0.3">
      <c r="A73" t="s">
        <v>37</v>
      </c>
      <c r="B73" t="s">
        <v>32</v>
      </c>
      <c r="C73">
        <v>73877</v>
      </c>
      <c r="D73">
        <v>74486</v>
      </c>
      <c r="E73">
        <v>0.99180000000000001</v>
      </c>
    </row>
    <row r="74" spans="1:5" x14ac:dyDescent="0.3">
      <c r="A74" t="s">
        <v>38</v>
      </c>
      <c r="B74" t="s">
        <v>21</v>
      </c>
      <c r="C74">
        <v>0</v>
      </c>
      <c r="D74">
        <v>144</v>
      </c>
      <c r="E74">
        <v>0</v>
      </c>
    </row>
    <row r="75" spans="1:5" x14ac:dyDescent="0.3">
      <c r="A75" t="s">
        <v>38</v>
      </c>
      <c r="B75" t="s">
        <v>22</v>
      </c>
      <c r="C75">
        <v>0</v>
      </c>
      <c r="D75">
        <v>199</v>
      </c>
      <c r="E75">
        <v>0</v>
      </c>
    </row>
    <row r="76" spans="1:5" x14ac:dyDescent="0.3">
      <c r="A76" t="s">
        <v>38</v>
      </c>
      <c r="B76" t="s">
        <v>23</v>
      </c>
      <c r="C76">
        <v>0</v>
      </c>
      <c r="D76">
        <v>648</v>
      </c>
      <c r="E76">
        <v>0</v>
      </c>
    </row>
    <row r="77" spans="1:5" x14ac:dyDescent="0.3">
      <c r="A77" t="s">
        <v>38</v>
      </c>
      <c r="B77" t="s">
        <v>24</v>
      </c>
      <c r="C77">
        <v>0</v>
      </c>
      <c r="D77">
        <v>192</v>
      </c>
      <c r="E77">
        <v>0</v>
      </c>
    </row>
    <row r="78" spans="1:5" x14ac:dyDescent="0.3">
      <c r="A78" t="s">
        <v>38</v>
      </c>
      <c r="B78" t="s">
        <v>25</v>
      </c>
      <c r="C78">
        <v>0</v>
      </c>
      <c r="D78">
        <v>576</v>
      </c>
      <c r="E78">
        <v>0</v>
      </c>
    </row>
    <row r="79" spans="1:5" x14ac:dyDescent="0.3">
      <c r="A79" t="s">
        <v>38</v>
      </c>
      <c r="B79" t="s">
        <v>26</v>
      </c>
      <c r="C79">
        <v>0</v>
      </c>
      <c r="D79">
        <v>9</v>
      </c>
      <c r="E79">
        <v>0</v>
      </c>
    </row>
    <row r="80" spans="1:5" x14ac:dyDescent="0.3">
      <c r="A80" t="s">
        <v>38</v>
      </c>
      <c r="B80" t="s">
        <v>27</v>
      </c>
      <c r="C80">
        <v>0</v>
      </c>
      <c r="D80">
        <v>59</v>
      </c>
      <c r="E80">
        <v>0</v>
      </c>
    </row>
    <row r="81" spans="1:5" x14ac:dyDescent="0.3">
      <c r="A81" t="s">
        <v>38</v>
      </c>
      <c r="B81" t="s">
        <v>28</v>
      </c>
      <c r="C81">
        <v>0</v>
      </c>
      <c r="D81">
        <v>92</v>
      </c>
      <c r="E81">
        <v>0</v>
      </c>
    </row>
    <row r="82" spans="1:5" x14ac:dyDescent="0.3">
      <c r="A82" t="s">
        <v>38</v>
      </c>
      <c r="B82" t="s">
        <v>29</v>
      </c>
      <c r="C82">
        <v>0</v>
      </c>
      <c r="D82">
        <v>18</v>
      </c>
      <c r="E82">
        <v>0</v>
      </c>
    </row>
    <row r="83" spans="1:5" x14ac:dyDescent="0.3">
      <c r="A83" t="s">
        <v>38</v>
      </c>
      <c r="B83" t="s">
        <v>30</v>
      </c>
      <c r="C83">
        <v>0</v>
      </c>
      <c r="D83">
        <v>712</v>
      </c>
      <c r="E83">
        <v>0</v>
      </c>
    </row>
    <row r="84" spans="1:5" x14ac:dyDescent="0.3">
      <c r="A84" t="s">
        <v>38</v>
      </c>
      <c r="B84" t="s">
        <v>31</v>
      </c>
      <c r="C84">
        <v>0</v>
      </c>
      <c r="D84">
        <v>181</v>
      </c>
      <c r="E84">
        <v>0</v>
      </c>
    </row>
    <row r="85" spans="1:5" x14ac:dyDescent="0.3">
      <c r="A85" t="s">
        <v>38</v>
      </c>
      <c r="B85" t="s">
        <v>32</v>
      </c>
      <c r="C85">
        <v>0</v>
      </c>
      <c r="D85">
        <v>66</v>
      </c>
      <c r="E85">
        <v>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4" x14ac:dyDescent="0.3"/>
  <sheetData>
    <row r="1" spans="1:3" x14ac:dyDescent="0.3">
      <c r="A1" s="1" t="s">
        <v>15</v>
      </c>
      <c r="B1" s="1" t="s">
        <v>39</v>
      </c>
      <c r="C1" s="1" t="s">
        <v>40</v>
      </c>
    </row>
    <row r="2" spans="1:3" x14ac:dyDescent="0.3">
      <c r="A2" t="s">
        <v>20</v>
      </c>
      <c r="B2" s="2">
        <v>46203</v>
      </c>
      <c r="C2">
        <v>16669223.32</v>
      </c>
    </row>
    <row r="3" spans="1:3" x14ac:dyDescent="0.3">
      <c r="A3" t="s">
        <v>33</v>
      </c>
      <c r="B3" s="2">
        <v>46204</v>
      </c>
      <c r="C3">
        <v>17243965.309999999</v>
      </c>
    </row>
    <row r="4" spans="1:3" x14ac:dyDescent="0.3">
      <c r="A4" t="s">
        <v>34</v>
      </c>
      <c r="B4" s="2">
        <v>46235</v>
      </c>
      <c r="C4">
        <v>10342579.199999999</v>
      </c>
    </row>
    <row r="5" spans="1:3" x14ac:dyDescent="0.3">
      <c r="A5" t="s">
        <v>35</v>
      </c>
      <c r="B5" s="2">
        <v>46266</v>
      </c>
      <c r="C5">
        <v>9993961.6500000004</v>
      </c>
    </row>
    <row r="6" spans="1:3" x14ac:dyDescent="0.3">
      <c r="A6" t="s">
        <v>36</v>
      </c>
      <c r="B6" s="2">
        <v>46319</v>
      </c>
      <c r="C6">
        <v>11657291.960000001</v>
      </c>
    </row>
    <row r="7" spans="1:3" x14ac:dyDescent="0.3">
      <c r="A7" t="s">
        <v>37</v>
      </c>
      <c r="B7" s="2">
        <v>46327</v>
      </c>
      <c r="C7">
        <v>11025215.640000001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F73"/>
  <sheetViews>
    <sheetView tabSelected="1" workbookViewId="0">
      <selection activeCell="F50" sqref="F50:F61"/>
    </sheetView>
  </sheetViews>
  <sheetFormatPr defaultRowHeight="14.4" x14ac:dyDescent="0.3"/>
  <cols>
    <col min="1" max="1" width="11.109375" bestFit="1" customWidth="1"/>
    <col min="2" max="2" width="12.21875" bestFit="1" customWidth="1"/>
    <col min="3" max="3" width="14.33203125" bestFit="1" customWidth="1"/>
    <col min="4" max="4" width="14.21875" bestFit="1" customWidth="1"/>
  </cols>
  <sheetData>
    <row r="1" spans="1:4" x14ac:dyDescent="0.3">
      <c r="A1" s="1" t="s">
        <v>15</v>
      </c>
      <c r="B1" s="1" t="s">
        <v>41</v>
      </c>
      <c r="C1" s="1" t="s">
        <v>39</v>
      </c>
      <c r="D1" s="1" t="s">
        <v>40</v>
      </c>
    </row>
    <row r="2" spans="1:4" hidden="1" x14ac:dyDescent="0.3">
      <c r="A2" t="s">
        <v>20</v>
      </c>
      <c r="B2" t="s">
        <v>25</v>
      </c>
      <c r="C2" s="2">
        <v>46203</v>
      </c>
      <c r="D2">
        <v>2612309.37</v>
      </c>
    </row>
    <row r="3" spans="1:4" hidden="1" x14ac:dyDescent="0.3">
      <c r="A3" t="s">
        <v>20</v>
      </c>
      <c r="B3" t="s">
        <v>23</v>
      </c>
      <c r="C3" s="2">
        <v>46202</v>
      </c>
      <c r="D3">
        <v>2277697.17</v>
      </c>
    </row>
    <row r="4" spans="1:4" hidden="1" x14ac:dyDescent="0.3">
      <c r="A4" t="s">
        <v>20</v>
      </c>
      <c r="B4" t="s">
        <v>32</v>
      </c>
      <c r="C4" s="2">
        <v>46203</v>
      </c>
      <c r="D4">
        <v>1782081.47</v>
      </c>
    </row>
    <row r="5" spans="1:4" hidden="1" x14ac:dyDescent="0.3">
      <c r="A5" t="s">
        <v>20</v>
      </c>
      <c r="B5" t="s">
        <v>30</v>
      </c>
      <c r="C5" s="2">
        <v>46202</v>
      </c>
      <c r="D5">
        <v>1653262.5</v>
      </c>
    </row>
    <row r="6" spans="1:4" hidden="1" x14ac:dyDescent="0.3">
      <c r="A6" t="s">
        <v>20</v>
      </c>
      <c r="B6" t="s">
        <v>22</v>
      </c>
      <c r="C6" s="2">
        <v>46203</v>
      </c>
      <c r="D6">
        <v>1623992.97</v>
      </c>
    </row>
    <row r="7" spans="1:4" hidden="1" x14ac:dyDescent="0.3">
      <c r="A7" t="s">
        <v>20</v>
      </c>
      <c r="B7" t="s">
        <v>27</v>
      </c>
      <c r="C7" s="2">
        <v>46203</v>
      </c>
      <c r="D7">
        <v>1543251.61</v>
      </c>
    </row>
    <row r="8" spans="1:4" hidden="1" x14ac:dyDescent="0.3">
      <c r="A8" t="s">
        <v>20</v>
      </c>
      <c r="B8" t="s">
        <v>28</v>
      </c>
      <c r="C8" s="2">
        <v>46203</v>
      </c>
      <c r="D8">
        <v>1348143.28</v>
      </c>
    </row>
    <row r="9" spans="1:4" hidden="1" x14ac:dyDescent="0.3">
      <c r="A9" t="s">
        <v>20</v>
      </c>
      <c r="B9" t="s">
        <v>29</v>
      </c>
      <c r="C9" s="2">
        <v>46202</v>
      </c>
      <c r="D9">
        <v>1189058.55</v>
      </c>
    </row>
    <row r="10" spans="1:4" hidden="1" x14ac:dyDescent="0.3">
      <c r="A10" t="s">
        <v>20</v>
      </c>
      <c r="B10" t="s">
        <v>21</v>
      </c>
      <c r="C10" s="2">
        <v>46203</v>
      </c>
      <c r="D10">
        <v>1012875.89</v>
      </c>
    </row>
    <row r="11" spans="1:4" hidden="1" x14ac:dyDescent="0.3">
      <c r="A11" t="s">
        <v>20</v>
      </c>
      <c r="B11" t="s">
        <v>31</v>
      </c>
      <c r="C11" s="2">
        <v>46202</v>
      </c>
      <c r="D11">
        <v>982738.38</v>
      </c>
    </row>
    <row r="12" spans="1:4" hidden="1" x14ac:dyDescent="0.3">
      <c r="A12" t="s">
        <v>20</v>
      </c>
      <c r="B12" t="s">
        <v>26</v>
      </c>
      <c r="C12" s="2">
        <v>46202</v>
      </c>
      <c r="D12">
        <v>498888.61</v>
      </c>
    </row>
    <row r="13" spans="1:4" hidden="1" x14ac:dyDescent="0.3">
      <c r="A13" t="s">
        <v>20</v>
      </c>
      <c r="B13" t="s">
        <v>24</v>
      </c>
      <c r="C13" s="2">
        <v>46203</v>
      </c>
      <c r="D13">
        <v>382477.89</v>
      </c>
    </row>
    <row r="14" spans="1:4" hidden="1" x14ac:dyDescent="0.3">
      <c r="A14" t="s">
        <v>33</v>
      </c>
      <c r="B14" t="s">
        <v>25</v>
      </c>
      <c r="C14" s="2">
        <v>46204</v>
      </c>
      <c r="D14">
        <v>2698206.57</v>
      </c>
    </row>
    <row r="15" spans="1:4" hidden="1" x14ac:dyDescent="0.3">
      <c r="A15" t="s">
        <v>33</v>
      </c>
      <c r="B15" t="s">
        <v>23</v>
      </c>
      <c r="C15" s="2">
        <v>46205</v>
      </c>
      <c r="D15">
        <v>2174538.11</v>
      </c>
    </row>
    <row r="16" spans="1:4" hidden="1" x14ac:dyDescent="0.3">
      <c r="A16" t="s">
        <v>33</v>
      </c>
      <c r="B16" t="s">
        <v>30</v>
      </c>
      <c r="C16" s="2">
        <v>46205</v>
      </c>
      <c r="D16">
        <v>1987432.76</v>
      </c>
    </row>
    <row r="17" spans="1:4" hidden="1" x14ac:dyDescent="0.3">
      <c r="A17" t="s">
        <v>33</v>
      </c>
      <c r="B17" t="s">
        <v>32</v>
      </c>
      <c r="C17" s="2">
        <v>46204</v>
      </c>
      <c r="D17">
        <v>1828501.84</v>
      </c>
    </row>
    <row r="18" spans="1:4" hidden="1" x14ac:dyDescent="0.3">
      <c r="A18" t="s">
        <v>33</v>
      </c>
      <c r="B18" t="s">
        <v>22</v>
      </c>
      <c r="C18" s="2">
        <v>46204</v>
      </c>
      <c r="D18">
        <v>1577270.38</v>
      </c>
    </row>
    <row r="19" spans="1:4" hidden="1" x14ac:dyDescent="0.3">
      <c r="A19" t="s">
        <v>33</v>
      </c>
      <c r="B19" t="s">
        <v>27</v>
      </c>
      <c r="C19" s="2">
        <v>46204</v>
      </c>
      <c r="D19">
        <v>1554646</v>
      </c>
    </row>
    <row r="20" spans="1:4" hidden="1" x14ac:dyDescent="0.3">
      <c r="A20" t="s">
        <v>33</v>
      </c>
      <c r="B20" t="s">
        <v>28</v>
      </c>
      <c r="C20" s="2">
        <v>46204</v>
      </c>
      <c r="D20">
        <v>1321610</v>
      </c>
    </row>
    <row r="21" spans="1:4" hidden="1" x14ac:dyDescent="0.3">
      <c r="A21" t="s">
        <v>33</v>
      </c>
      <c r="B21" t="s">
        <v>31</v>
      </c>
      <c r="C21" s="2">
        <v>46205</v>
      </c>
      <c r="D21">
        <v>1239278.1299999999</v>
      </c>
    </row>
    <row r="22" spans="1:4" hidden="1" x14ac:dyDescent="0.3">
      <c r="A22" t="s">
        <v>33</v>
      </c>
      <c r="B22" t="s">
        <v>29</v>
      </c>
      <c r="C22" s="2">
        <v>46205</v>
      </c>
      <c r="D22">
        <v>1173051.6499999999</v>
      </c>
    </row>
    <row r="23" spans="1:4" hidden="1" x14ac:dyDescent="0.3">
      <c r="A23" t="s">
        <v>33</v>
      </c>
      <c r="B23" t="s">
        <v>21</v>
      </c>
      <c r="C23" s="2">
        <v>46204</v>
      </c>
      <c r="D23">
        <v>1096324.83</v>
      </c>
    </row>
    <row r="24" spans="1:4" hidden="1" x14ac:dyDescent="0.3">
      <c r="A24" t="s">
        <v>33</v>
      </c>
      <c r="B24" t="s">
        <v>24</v>
      </c>
      <c r="C24" s="2">
        <v>46211</v>
      </c>
      <c r="D24">
        <v>650576.99</v>
      </c>
    </row>
    <row r="25" spans="1:4" hidden="1" x14ac:dyDescent="0.3">
      <c r="A25" t="s">
        <v>33</v>
      </c>
      <c r="B25" t="s">
        <v>26</v>
      </c>
      <c r="C25" s="2">
        <v>46204</v>
      </c>
      <c r="D25">
        <v>475587.69</v>
      </c>
    </row>
    <row r="26" spans="1:4" hidden="1" x14ac:dyDescent="0.3">
      <c r="A26" t="s">
        <v>34</v>
      </c>
      <c r="B26" t="s">
        <v>25</v>
      </c>
      <c r="C26" s="2">
        <v>46235</v>
      </c>
      <c r="D26">
        <v>1548351.99</v>
      </c>
    </row>
    <row r="27" spans="1:4" hidden="1" x14ac:dyDescent="0.3">
      <c r="A27" t="s">
        <v>34</v>
      </c>
      <c r="B27" t="s">
        <v>30</v>
      </c>
      <c r="C27" s="2">
        <v>46236</v>
      </c>
      <c r="D27">
        <v>1300216.08</v>
      </c>
    </row>
    <row r="28" spans="1:4" hidden="1" x14ac:dyDescent="0.3">
      <c r="A28" t="s">
        <v>34</v>
      </c>
      <c r="B28" t="s">
        <v>23</v>
      </c>
      <c r="C28" s="2">
        <v>46237</v>
      </c>
      <c r="D28">
        <v>1195811.97</v>
      </c>
    </row>
    <row r="29" spans="1:4" hidden="1" x14ac:dyDescent="0.3">
      <c r="A29" t="s">
        <v>34</v>
      </c>
      <c r="B29" t="s">
        <v>32</v>
      </c>
      <c r="C29" s="2">
        <v>46239</v>
      </c>
      <c r="D29">
        <v>1075193.93</v>
      </c>
    </row>
    <row r="30" spans="1:4" hidden="1" x14ac:dyDescent="0.3">
      <c r="A30" t="s">
        <v>34</v>
      </c>
      <c r="B30" t="s">
        <v>21</v>
      </c>
      <c r="C30" s="2">
        <v>46236</v>
      </c>
      <c r="D30">
        <v>975937.23</v>
      </c>
    </row>
    <row r="31" spans="1:4" hidden="1" x14ac:dyDescent="0.3">
      <c r="A31" t="s">
        <v>34</v>
      </c>
      <c r="B31" t="s">
        <v>27</v>
      </c>
      <c r="C31" s="2">
        <v>46235</v>
      </c>
      <c r="D31">
        <v>924653.5</v>
      </c>
    </row>
    <row r="32" spans="1:4" hidden="1" x14ac:dyDescent="0.3">
      <c r="A32" t="s">
        <v>34</v>
      </c>
      <c r="B32" t="s">
        <v>22</v>
      </c>
      <c r="C32" s="2">
        <v>46237</v>
      </c>
      <c r="D32">
        <v>874650.89</v>
      </c>
    </row>
    <row r="33" spans="1:4" hidden="1" x14ac:dyDescent="0.3">
      <c r="A33" t="s">
        <v>34</v>
      </c>
      <c r="B33" t="s">
        <v>31</v>
      </c>
      <c r="C33" s="2">
        <v>46236</v>
      </c>
      <c r="D33">
        <v>851383.78</v>
      </c>
    </row>
    <row r="34" spans="1:4" hidden="1" x14ac:dyDescent="0.3">
      <c r="A34" t="s">
        <v>34</v>
      </c>
      <c r="B34" t="s">
        <v>24</v>
      </c>
      <c r="C34" s="2">
        <v>46256</v>
      </c>
      <c r="D34">
        <v>611233.18999999994</v>
      </c>
    </row>
    <row r="35" spans="1:4" hidden="1" x14ac:dyDescent="0.3">
      <c r="A35" t="s">
        <v>34</v>
      </c>
      <c r="B35" t="s">
        <v>28</v>
      </c>
      <c r="C35" s="2">
        <v>46237</v>
      </c>
      <c r="D35">
        <v>602686.04</v>
      </c>
    </row>
    <row r="36" spans="1:4" hidden="1" x14ac:dyDescent="0.3">
      <c r="A36" t="s">
        <v>34</v>
      </c>
      <c r="B36" t="s">
        <v>29</v>
      </c>
      <c r="C36" s="2">
        <v>46260</v>
      </c>
      <c r="D36">
        <v>455896.74</v>
      </c>
    </row>
    <row r="37" spans="1:4" hidden="1" x14ac:dyDescent="0.3">
      <c r="A37" t="s">
        <v>34</v>
      </c>
      <c r="B37" t="s">
        <v>26</v>
      </c>
      <c r="C37" s="2">
        <v>46252</v>
      </c>
      <c r="D37">
        <v>244996.85</v>
      </c>
    </row>
    <row r="38" spans="1:4" hidden="1" x14ac:dyDescent="0.3">
      <c r="A38" t="s">
        <v>35</v>
      </c>
      <c r="B38" t="s">
        <v>25</v>
      </c>
      <c r="C38" s="2">
        <v>46266</v>
      </c>
      <c r="D38">
        <v>1524973.02</v>
      </c>
    </row>
    <row r="39" spans="1:4" hidden="1" x14ac:dyDescent="0.3">
      <c r="A39" t="s">
        <v>35</v>
      </c>
      <c r="B39" t="s">
        <v>30</v>
      </c>
      <c r="C39" s="2">
        <v>46268</v>
      </c>
      <c r="D39">
        <v>1244864.2</v>
      </c>
    </row>
    <row r="40" spans="1:4" hidden="1" x14ac:dyDescent="0.3">
      <c r="A40" t="s">
        <v>35</v>
      </c>
      <c r="B40" t="s">
        <v>23</v>
      </c>
      <c r="C40" s="2">
        <v>46289</v>
      </c>
      <c r="D40">
        <v>1237266.92</v>
      </c>
    </row>
    <row r="41" spans="1:4" hidden="1" x14ac:dyDescent="0.3">
      <c r="A41" t="s">
        <v>35</v>
      </c>
      <c r="B41" t="s">
        <v>32</v>
      </c>
      <c r="C41" s="2">
        <v>46289</v>
      </c>
      <c r="D41">
        <v>1019704.5</v>
      </c>
    </row>
    <row r="42" spans="1:4" hidden="1" x14ac:dyDescent="0.3">
      <c r="A42" t="s">
        <v>35</v>
      </c>
      <c r="B42" t="s">
        <v>21</v>
      </c>
      <c r="C42" s="2">
        <v>46268</v>
      </c>
      <c r="D42">
        <v>962725.46</v>
      </c>
    </row>
    <row r="43" spans="1:4" hidden="1" x14ac:dyDescent="0.3">
      <c r="A43" t="s">
        <v>35</v>
      </c>
      <c r="B43" t="s">
        <v>22</v>
      </c>
      <c r="C43" s="2">
        <v>46286</v>
      </c>
      <c r="D43">
        <v>952013.8</v>
      </c>
    </row>
    <row r="44" spans="1:4" hidden="1" x14ac:dyDescent="0.3">
      <c r="A44" t="s">
        <v>35</v>
      </c>
      <c r="B44" t="s">
        <v>27</v>
      </c>
      <c r="C44" s="2">
        <v>46271</v>
      </c>
      <c r="D44">
        <v>855024.02</v>
      </c>
    </row>
    <row r="45" spans="1:4" hidden="1" x14ac:dyDescent="0.3">
      <c r="A45" t="s">
        <v>35</v>
      </c>
      <c r="B45" t="s">
        <v>31</v>
      </c>
      <c r="C45" s="2">
        <v>46278</v>
      </c>
      <c r="D45">
        <v>808220.81</v>
      </c>
    </row>
    <row r="46" spans="1:4" hidden="1" x14ac:dyDescent="0.3">
      <c r="A46" t="s">
        <v>35</v>
      </c>
      <c r="B46" t="s">
        <v>24</v>
      </c>
      <c r="C46" s="2">
        <v>46270</v>
      </c>
      <c r="D46">
        <v>592082.77</v>
      </c>
    </row>
    <row r="47" spans="1:4" hidden="1" x14ac:dyDescent="0.3">
      <c r="A47" t="s">
        <v>35</v>
      </c>
      <c r="B47" t="s">
        <v>28</v>
      </c>
      <c r="C47" s="2">
        <v>46269</v>
      </c>
      <c r="D47">
        <v>567017.46</v>
      </c>
    </row>
    <row r="48" spans="1:4" hidden="1" x14ac:dyDescent="0.3">
      <c r="A48" t="s">
        <v>35</v>
      </c>
      <c r="B48" t="s">
        <v>29</v>
      </c>
      <c r="C48" s="2">
        <v>46295</v>
      </c>
      <c r="D48">
        <v>478460.62</v>
      </c>
    </row>
    <row r="49" spans="1:6" hidden="1" x14ac:dyDescent="0.3">
      <c r="A49" t="s">
        <v>35</v>
      </c>
      <c r="B49" t="s">
        <v>26</v>
      </c>
      <c r="C49" s="2">
        <v>46288</v>
      </c>
      <c r="D49">
        <v>252812.03</v>
      </c>
    </row>
    <row r="50" spans="1:6" x14ac:dyDescent="0.3">
      <c r="A50" t="s">
        <v>36</v>
      </c>
      <c r="B50" t="s">
        <v>21</v>
      </c>
      <c r="C50" s="2">
        <v>46317</v>
      </c>
      <c r="D50">
        <v>1097667.28</v>
      </c>
      <c r="E50" s="3">
        <f>D50/1000</f>
        <v>1097.6672800000001</v>
      </c>
      <c r="F50" t="s">
        <v>74</v>
      </c>
    </row>
    <row r="51" spans="1:6" x14ac:dyDescent="0.3">
      <c r="A51" t="s">
        <v>36</v>
      </c>
      <c r="B51" t="s">
        <v>22</v>
      </c>
      <c r="C51" s="2">
        <v>46316</v>
      </c>
      <c r="D51">
        <v>1071848.54</v>
      </c>
      <c r="E51" s="3">
        <f t="shared" ref="E51:E61" si="0">D51/1000</f>
        <v>1071.84854</v>
      </c>
      <c r="F51" t="s">
        <v>75</v>
      </c>
    </row>
    <row r="52" spans="1:6" x14ac:dyDescent="0.3">
      <c r="A52" t="s">
        <v>36</v>
      </c>
      <c r="B52" t="s">
        <v>23</v>
      </c>
      <c r="C52" s="2">
        <v>46316</v>
      </c>
      <c r="D52">
        <v>1507166.77</v>
      </c>
      <c r="E52" s="3">
        <f t="shared" si="0"/>
        <v>1507.16677</v>
      </c>
      <c r="F52" t="s">
        <v>76</v>
      </c>
    </row>
    <row r="53" spans="1:6" x14ac:dyDescent="0.3">
      <c r="A53" t="s">
        <v>36</v>
      </c>
      <c r="B53" t="s">
        <v>24</v>
      </c>
      <c r="C53" s="2">
        <v>46322</v>
      </c>
      <c r="D53">
        <v>771624.9</v>
      </c>
      <c r="E53" s="3">
        <f t="shared" si="0"/>
        <v>771.62490000000003</v>
      </c>
      <c r="F53" t="s">
        <v>77</v>
      </c>
    </row>
    <row r="54" spans="1:6" x14ac:dyDescent="0.3">
      <c r="A54" t="s">
        <v>36</v>
      </c>
      <c r="B54" t="s">
        <v>25</v>
      </c>
      <c r="C54" s="2">
        <v>46319</v>
      </c>
      <c r="D54">
        <v>1460517.37</v>
      </c>
      <c r="E54" s="3">
        <f t="shared" si="0"/>
        <v>1460.51737</v>
      </c>
      <c r="F54" t="s">
        <v>78</v>
      </c>
    </row>
    <row r="55" spans="1:6" x14ac:dyDescent="0.3">
      <c r="A55" t="s">
        <v>36</v>
      </c>
      <c r="B55" t="s">
        <v>26</v>
      </c>
      <c r="C55" s="2">
        <v>46317</v>
      </c>
      <c r="D55">
        <v>322391.99</v>
      </c>
      <c r="E55" s="3">
        <f t="shared" si="0"/>
        <v>322.39198999999996</v>
      </c>
      <c r="F55" t="s">
        <v>79</v>
      </c>
    </row>
    <row r="56" spans="1:6" x14ac:dyDescent="0.3">
      <c r="A56" t="s">
        <v>36</v>
      </c>
      <c r="B56" t="s">
        <v>27</v>
      </c>
      <c r="C56" s="2">
        <v>46317</v>
      </c>
      <c r="D56">
        <v>895891.81</v>
      </c>
      <c r="E56" s="3">
        <f t="shared" si="0"/>
        <v>895.89181000000008</v>
      </c>
      <c r="F56" t="s">
        <v>80</v>
      </c>
    </row>
    <row r="57" spans="1:6" x14ac:dyDescent="0.3">
      <c r="A57" t="s">
        <v>36</v>
      </c>
      <c r="B57" t="s">
        <v>28</v>
      </c>
      <c r="C57" s="2">
        <v>46316</v>
      </c>
      <c r="D57">
        <v>600948.9</v>
      </c>
      <c r="E57" s="3">
        <f t="shared" si="0"/>
        <v>600.94889999999998</v>
      </c>
      <c r="F57" t="s">
        <v>81</v>
      </c>
    </row>
    <row r="58" spans="1:6" x14ac:dyDescent="0.3">
      <c r="A58" t="s">
        <v>36</v>
      </c>
      <c r="B58" t="s">
        <v>29</v>
      </c>
      <c r="C58" s="2">
        <v>46319</v>
      </c>
      <c r="D58">
        <v>771967.81</v>
      </c>
      <c r="E58" s="3">
        <f t="shared" si="0"/>
        <v>771.9678100000001</v>
      </c>
      <c r="F58" t="s">
        <v>82</v>
      </c>
    </row>
    <row r="59" spans="1:6" x14ac:dyDescent="0.3">
      <c r="A59" t="s">
        <v>36</v>
      </c>
      <c r="B59" t="s">
        <v>30</v>
      </c>
      <c r="C59" s="2">
        <v>46317</v>
      </c>
      <c r="D59">
        <v>1523782.17</v>
      </c>
      <c r="E59" s="3">
        <f t="shared" si="0"/>
        <v>1523.78217</v>
      </c>
      <c r="F59" t="s">
        <v>83</v>
      </c>
    </row>
    <row r="60" spans="1:6" x14ac:dyDescent="0.3">
      <c r="A60" t="s">
        <v>36</v>
      </c>
      <c r="B60" t="s">
        <v>31</v>
      </c>
      <c r="C60" s="2">
        <v>46322</v>
      </c>
      <c r="D60">
        <v>977776.62</v>
      </c>
      <c r="E60" s="3">
        <f t="shared" si="0"/>
        <v>977.77661999999998</v>
      </c>
      <c r="F60" t="s">
        <v>84</v>
      </c>
    </row>
    <row r="61" spans="1:6" x14ac:dyDescent="0.3">
      <c r="A61" t="s">
        <v>36</v>
      </c>
      <c r="B61" t="s">
        <v>32</v>
      </c>
      <c r="C61" s="2">
        <v>46318</v>
      </c>
      <c r="D61">
        <v>1225136.1200000001</v>
      </c>
      <c r="E61" s="3">
        <f t="shared" si="0"/>
        <v>1225.1361200000001</v>
      </c>
      <c r="F61" t="s">
        <v>85</v>
      </c>
    </row>
    <row r="62" spans="1:6" hidden="1" x14ac:dyDescent="0.3">
      <c r="A62" t="s">
        <v>37</v>
      </c>
      <c r="B62" t="s">
        <v>25</v>
      </c>
      <c r="C62" s="2">
        <v>46333</v>
      </c>
      <c r="D62">
        <v>1431873.71</v>
      </c>
    </row>
    <row r="63" spans="1:6" hidden="1" x14ac:dyDescent="0.3">
      <c r="A63" t="s">
        <v>37</v>
      </c>
      <c r="B63" t="s">
        <v>30</v>
      </c>
      <c r="C63" s="2">
        <v>46327</v>
      </c>
      <c r="D63">
        <v>1357878.47</v>
      </c>
    </row>
    <row r="64" spans="1:6" hidden="1" x14ac:dyDescent="0.3">
      <c r="A64" t="s">
        <v>37</v>
      </c>
      <c r="B64" t="s">
        <v>23</v>
      </c>
      <c r="C64" s="2">
        <v>46327</v>
      </c>
      <c r="D64">
        <v>1329029.98</v>
      </c>
    </row>
    <row r="65" spans="1:4" hidden="1" x14ac:dyDescent="0.3">
      <c r="A65" t="s">
        <v>37</v>
      </c>
      <c r="B65" t="s">
        <v>32</v>
      </c>
      <c r="C65" s="2">
        <v>46334</v>
      </c>
      <c r="D65">
        <v>1115461.08</v>
      </c>
    </row>
    <row r="66" spans="1:4" hidden="1" x14ac:dyDescent="0.3">
      <c r="A66" t="s">
        <v>37</v>
      </c>
      <c r="B66" t="s">
        <v>21</v>
      </c>
      <c r="C66" s="2">
        <v>46328</v>
      </c>
      <c r="D66">
        <v>1051928.6399999999</v>
      </c>
    </row>
    <row r="67" spans="1:4" hidden="1" x14ac:dyDescent="0.3">
      <c r="A67" t="s">
        <v>37</v>
      </c>
      <c r="B67" t="s">
        <v>22</v>
      </c>
      <c r="C67" s="2">
        <v>46327</v>
      </c>
      <c r="D67">
        <v>910525.19</v>
      </c>
    </row>
    <row r="68" spans="1:4" hidden="1" x14ac:dyDescent="0.3">
      <c r="A68" t="s">
        <v>37</v>
      </c>
      <c r="B68" t="s">
        <v>31</v>
      </c>
      <c r="C68" s="2">
        <v>46329</v>
      </c>
      <c r="D68">
        <v>902579.9</v>
      </c>
    </row>
    <row r="69" spans="1:4" hidden="1" x14ac:dyDescent="0.3">
      <c r="A69" t="s">
        <v>37</v>
      </c>
      <c r="B69" t="s">
        <v>27</v>
      </c>
      <c r="C69" s="2">
        <v>46335</v>
      </c>
      <c r="D69">
        <v>873082.05</v>
      </c>
    </row>
    <row r="70" spans="1:4" hidden="1" x14ac:dyDescent="0.3">
      <c r="A70" t="s">
        <v>37</v>
      </c>
      <c r="B70" t="s">
        <v>24</v>
      </c>
      <c r="C70" s="2">
        <v>46328</v>
      </c>
      <c r="D70">
        <v>760522.99</v>
      </c>
    </row>
    <row r="71" spans="1:4" hidden="1" x14ac:dyDescent="0.3">
      <c r="A71" t="s">
        <v>37</v>
      </c>
      <c r="B71" t="s">
        <v>29</v>
      </c>
      <c r="C71" s="2">
        <v>46328</v>
      </c>
      <c r="D71">
        <v>650642.81999999995</v>
      </c>
    </row>
    <row r="72" spans="1:4" hidden="1" x14ac:dyDescent="0.3">
      <c r="A72" t="s">
        <v>37</v>
      </c>
      <c r="B72" t="s">
        <v>28</v>
      </c>
      <c r="C72" s="2">
        <v>46327</v>
      </c>
      <c r="D72">
        <v>564928.02</v>
      </c>
    </row>
    <row r="73" spans="1:4" hidden="1" x14ac:dyDescent="0.3">
      <c r="A73" t="s">
        <v>37</v>
      </c>
      <c r="B73" t="s">
        <v>26</v>
      </c>
      <c r="C73" s="2">
        <v>46330</v>
      </c>
      <c r="D73">
        <v>324040.69</v>
      </c>
    </row>
  </sheetData>
  <autoFilter ref="A1:D73" xr:uid="{00000000-0001-0000-0300-000000000000}">
    <filterColumn colId="0">
      <filters>
        <filter val="2026-10"/>
      </filters>
    </filterColumn>
    <sortState xmlns:xlrd2="http://schemas.microsoft.com/office/spreadsheetml/2017/richdata2" ref="A50:D61">
      <sortCondition ref="B1:B73"/>
    </sortState>
  </autoFilter>
  <pageMargins left="0.75" right="0.75" top="1" bottom="1" header="0.5" footer="0.5"/>
  <headerFooter>
    <oddHeader>&amp;R&amp;"Aptos"&amp;10&amp;K000000 Business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2"/>
  <sheetViews>
    <sheetView workbookViewId="0"/>
  </sheetViews>
  <sheetFormatPr defaultRowHeight="14.4" x14ac:dyDescent="0.3"/>
  <sheetData>
    <row r="1" spans="1:19" x14ac:dyDescent="0.3">
      <c r="A1" s="1" t="s">
        <v>42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</row>
    <row r="2" spans="1:19" x14ac:dyDescent="0.3">
      <c r="A2" t="s">
        <v>60</v>
      </c>
      <c r="B2" t="s">
        <v>30</v>
      </c>
      <c r="C2">
        <v>138570</v>
      </c>
      <c r="D2">
        <v>564891</v>
      </c>
      <c r="E2">
        <v>0.43</v>
      </c>
      <c r="F2">
        <v>0</v>
      </c>
      <c r="G2">
        <v>1</v>
      </c>
      <c r="H2">
        <v>2.2000000000000002</v>
      </c>
      <c r="I2">
        <v>2</v>
      </c>
      <c r="J2">
        <v>3</v>
      </c>
      <c r="K2">
        <v>2.63</v>
      </c>
      <c r="L2">
        <v>3</v>
      </c>
      <c r="M2">
        <v>4</v>
      </c>
      <c r="N2">
        <v>4.8</v>
      </c>
      <c r="O2">
        <v>1</v>
      </c>
      <c r="P2">
        <v>0</v>
      </c>
      <c r="Q2">
        <v>1.3</v>
      </c>
      <c r="R2">
        <v>7.1</v>
      </c>
      <c r="S2">
        <v>-4.47</v>
      </c>
    </row>
    <row r="3" spans="1:19" x14ac:dyDescent="0.3">
      <c r="A3" t="s">
        <v>61</v>
      </c>
      <c r="B3" t="s">
        <v>23</v>
      </c>
      <c r="C3">
        <v>76201</v>
      </c>
      <c r="D3">
        <v>469747</v>
      </c>
      <c r="E3">
        <v>0.39</v>
      </c>
      <c r="F3">
        <v>0</v>
      </c>
      <c r="G3">
        <v>1</v>
      </c>
      <c r="H3">
        <v>0.2</v>
      </c>
      <c r="I3">
        <v>0</v>
      </c>
      <c r="J3">
        <v>1</v>
      </c>
      <c r="K3">
        <v>0.59</v>
      </c>
      <c r="L3">
        <v>0</v>
      </c>
      <c r="M3">
        <v>2</v>
      </c>
      <c r="N3">
        <v>4.2</v>
      </c>
      <c r="O3">
        <v>0.6</v>
      </c>
      <c r="P3">
        <v>0</v>
      </c>
      <c r="Q3">
        <v>0.60000000000000009</v>
      </c>
      <c r="R3">
        <v>5.4</v>
      </c>
      <c r="S3">
        <v>-4.8099999999999996</v>
      </c>
    </row>
    <row r="4" spans="1:19" x14ac:dyDescent="0.3">
      <c r="A4" t="s">
        <v>60</v>
      </c>
      <c r="B4" t="s">
        <v>32</v>
      </c>
      <c r="C4">
        <v>97517</v>
      </c>
      <c r="D4">
        <v>450011</v>
      </c>
      <c r="E4">
        <v>0.7</v>
      </c>
      <c r="F4">
        <v>1</v>
      </c>
      <c r="G4">
        <v>1</v>
      </c>
      <c r="H4">
        <v>1.2</v>
      </c>
      <c r="I4">
        <v>1</v>
      </c>
      <c r="J4">
        <v>2</v>
      </c>
      <c r="K4">
        <v>1.9</v>
      </c>
      <c r="L4">
        <v>2</v>
      </c>
      <c r="M4">
        <v>3</v>
      </c>
      <c r="N4">
        <v>5.7</v>
      </c>
      <c r="O4">
        <v>0.7</v>
      </c>
      <c r="P4">
        <v>0</v>
      </c>
      <c r="Q4">
        <v>1.5</v>
      </c>
      <c r="R4">
        <v>7.9</v>
      </c>
      <c r="S4">
        <v>-6</v>
      </c>
    </row>
    <row r="5" spans="1:19" x14ac:dyDescent="0.3">
      <c r="A5" t="s">
        <v>62</v>
      </c>
      <c r="B5" t="s">
        <v>23</v>
      </c>
      <c r="C5">
        <v>39202</v>
      </c>
      <c r="D5">
        <v>374563</v>
      </c>
      <c r="E5">
        <v>0.33</v>
      </c>
      <c r="F5">
        <v>0</v>
      </c>
      <c r="G5">
        <v>1</v>
      </c>
      <c r="H5">
        <v>1.2</v>
      </c>
      <c r="I5">
        <v>1</v>
      </c>
      <c r="J5">
        <v>2</v>
      </c>
      <c r="K5">
        <v>1.54</v>
      </c>
      <c r="L5">
        <v>1</v>
      </c>
      <c r="M5">
        <v>3</v>
      </c>
      <c r="N5">
        <v>2.6</v>
      </c>
      <c r="O5">
        <v>0.4</v>
      </c>
      <c r="P5">
        <v>0</v>
      </c>
      <c r="Q5">
        <v>1.4</v>
      </c>
      <c r="R5">
        <v>4.4000000000000004</v>
      </c>
      <c r="S5">
        <v>-2.86</v>
      </c>
    </row>
    <row r="6" spans="1:19" x14ac:dyDescent="0.3">
      <c r="A6" t="s">
        <v>60</v>
      </c>
      <c r="B6" t="s">
        <v>31</v>
      </c>
      <c r="C6">
        <v>94480</v>
      </c>
      <c r="D6">
        <v>366098</v>
      </c>
      <c r="E6">
        <v>0.8</v>
      </c>
      <c r="F6">
        <v>1</v>
      </c>
      <c r="G6">
        <v>2</v>
      </c>
      <c r="H6">
        <v>2.2000000000000002</v>
      </c>
      <c r="I6">
        <v>2</v>
      </c>
      <c r="J6">
        <v>3</v>
      </c>
      <c r="K6">
        <v>3</v>
      </c>
      <c r="L6">
        <v>3</v>
      </c>
      <c r="M6">
        <v>4</v>
      </c>
      <c r="N6">
        <v>4.8</v>
      </c>
      <c r="O6">
        <v>1.2</v>
      </c>
      <c r="P6">
        <v>0</v>
      </c>
      <c r="Q6">
        <v>1.3</v>
      </c>
      <c r="R6">
        <v>7.3</v>
      </c>
      <c r="S6">
        <v>-4.3</v>
      </c>
    </row>
    <row r="7" spans="1:19" x14ac:dyDescent="0.3">
      <c r="A7" t="s">
        <v>60</v>
      </c>
      <c r="B7" t="s">
        <v>23</v>
      </c>
      <c r="C7">
        <v>77311</v>
      </c>
      <c r="D7">
        <v>360000</v>
      </c>
      <c r="E7">
        <v>0.47</v>
      </c>
      <c r="F7">
        <v>0</v>
      </c>
      <c r="G7">
        <v>1</v>
      </c>
      <c r="H7">
        <v>1.2</v>
      </c>
      <c r="I7">
        <v>1</v>
      </c>
      <c r="J7">
        <v>2</v>
      </c>
      <c r="K7">
        <v>1.67</v>
      </c>
      <c r="L7">
        <v>2</v>
      </c>
      <c r="M7">
        <v>3</v>
      </c>
      <c r="N7">
        <v>3.3</v>
      </c>
      <c r="O7">
        <v>0.6</v>
      </c>
      <c r="P7">
        <v>0</v>
      </c>
      <c r="Q7">
        <v>1.5</v>
      </c>
      <c r="R7">
        <v>5.4</v>
      </c>
      <c r="S7">
        <v>-3.73</v>
      </c>
    </row>
    <row r="8" spans="1:19" x14ac:dyDescent="0.3">
      <c r="A8" t="s">
        <v>63</v>
      </c>
      <c r="B8" t="s">
        <v>27</v>
      </c>
      <c r="C8">
        <v>52341</v>
      </c>
      <c r="D8">
        <v>273873</v>
      </c>
      <c r="E8">
        <v>0.91</v>
      </c>
      <c r="F8">
        <v>1</v>
      </c>
      <c r="G8">
        <v>2</v>
      </c>
      <c r="H8">
        <v>1.2</v>
      </c>
      <c r="I8">
        <v>1</v>
      </c>
      <c r="J8">
        <v>2</v>
      </c>
      <c r="K8">
        <v>2.11</v>
      </c>
      <c r="L8">
        <v>2</v>
      </c>
      <c r="M8">
        <v>3</v>
      </c>
      <c r="N8">
        <v>3.3</v>
      </c>
      <c r="O8">
        <v>0.2</v>
      </c>
      <c r="P8">
        <v>0</v>
      </c>
      <c r="Q8">
        <v>1.4</v>
      </c>
      <c r="R8">
        <v>4.9000000000000004</v>
      </c>
      <c r="S8">
        <v>-2.79</v>
      </c>
    </row>
    <row r="9" spans="1:19" x14ac:dyDescent="0.3">
      <c r="A9" t="s">
        <v>60</v>
      </c>
      <c r="B9" t="s">
        <v>22</v>
      </c>
      <c r="C9">
        <v>55445</v>
      </c>
      <c r="D9">
        <v>261129</v>
      </c>
      <c r="E9">
        <v>0.86</v>
      </c>
      <c r="F9">
        <v>1</v>
      </c>
      <c r="G9">
        <v>2</v>
      </c>
      <c r="H9">
        <v>0.2</v>
      </c>
      <c r="I9">
        <v>0</v>
      </c>
      <c r="J9">
        <v>1</v>
      </c>
      <c r="K9">
        <v>1.06</v>
      </c>
      <c r="L9">
        <v>1</v>
      </c>
      <c r="M9">
        <v>2</v>
      </c>
      <c r="N9">
        <v>3</v>
      </c>
      <c r="O9">
        <v>0.8</v>
      </c>
      <c r="P9">
        <v>0</v>
      </c>
      <c r="Q9">
        <v>0.70000000000000018</v>
      </c>
      <c r="R9">
        <v>4.5</v>
      </c>
      <c r="S9">
        <v>-3.44</v>
      </c>
    </row>
    <row r="10" spans="1:19" x14ac:dyDescent="0.3">
      <c r="A10" t="s">
        <v>64</v>
      </c>
      <c r="B10" t="s">
        <v>25</v>
      </c>
      <c r="C10">
        <v>55555</v>
      </c>
      <c r="D10">
        <v>236360</v>
      </c>
      <c r="E10">
        <v>1.1100000000000001</v>
      </c>
      <c r="F10">
        <v>1</v>
      </c>
      <c r="G10">
        <v>2</v>
      </c>
      <c r="H10">
        <v>0.2</v>
      </c>
      <c r="I10">
        <v>0</v>
      </c>
      <c r="J10">
        <v>1</v>
      </c>
      <c r="K10">
        <v>1.31</v>
      </c>
      <c r="L10">
        <v>1</v>
      </c>
      <c r="M10">
        <v>3</v>
      </c>
      <c r="N10">
        <v>3.6</v>
      </c>
      <c r="O10">
        <v>0.9</v>
      </c>
      <c r="P10">
        <v>0</v>
      </c>
      <c r="Q10">
        <v>0.89999999999999991</v>
      </c>
      <c r="R10">
        <v>5.4</v>
      </c>
      <c r="S10">
        <v>-4.09</v>
      </c>
    </row>
    <row r="11" spans="1:19" x14ac:dyDescent="0.3">
      <c r="A11" t="s">
        <v>64</v>
      </c>
      <c r="B11" t="s">
        <v>21</v>
      </c>
      <c r="C11">
        <v>36902</v>
      </c>
      <c r="D11">
        <v>222748</v>
      </c>
      <c r="E11">
        <v>1.28</v>
      </c>
      <c r="F11">
        <v>1</v>
      </c>
      <c r="G11">
        <v>3</v>
      </c>
      <c r="H11">
        <v>1.21</v>
      </c>
      <c r="I11">
        <v>1</v>
      </c>
      <c r="J11">
        <v>2</v>
      </c>
      <c r="K11">
        <v>2.4900000000000002</v>
      </c>
      <c r="L11">
        <v>2</v>
      </c>
      <c r="M11">
        <v>4</v>
      </c>
      <c r="N11">
        <v>5</v>
      </c>
      <c r="O11">
        <v>0.8</v>
      </c>
      <c r="P11">
        <v>0</v>
      </c>
      <c r="Q11">
        <v>1.6</v>
      </c>
      <c r="R11">
        <v>7.4</v>
      </c>
      <c r="S11">
        <v>-4.91</v>
      </c>
    </row>
    <row r="12" spans="1:19" x14ac:dyDescent="0.3">
      <c r="A12" t="s">
        <v>61</v>
      </c>
      <c r="B12" t="s">
        <v>22</v>
      </c>
      <c r="C12">
        <v>37506</v>
      </c>
      <c r="D12">
        <v>212940</v>
      </c>
      <c r="E12">
        <v>1.22</v>
      </c>
      <c r="F12">
        <v>1</v>
      </c>
      <c r="G12">
        <v>3</v>
      </c>
      <c r="H12">
        <v>0.21</v>
      </c>
      <c r="I12">
        <v>0</v>
      </c>
      <c r="J12">
        <v>1</v>
      </c>
      <c r="K12">
        <v>1.42</v>
      </c>
      <c r="L12">
        <v>1</v>
      </c>
      <c r="M12">
        <v>3</v>
      </c>
      <c r="N12">
        <v>5.4</v>
      </c>
      <c r="O12">
        <v>0.8</v>
      </c>
      <c r="P12">
        <v>0</v>
      </c>
      <c r="Q12">
        <v>0.80000000000000071</v>
      </c>
      <c r="R12">
        <v>7</v>
      </c>
      <c r="S12">
        <v>-5.58</v>
      </c>
    </row>
    <row r="13" spans="1:19" x14ac:dyDescent="0.3">
      <c r="A13" t="s">
        <v>65</v>
      </c>
      <c r="B13" t="s">
        <v>30</v>
      </c>
      <c r="C13">
        <v>19876</v>
      </c>
      <c r="D13">
        <v>206862</v>
      </c>
      <c r="E13">
        <v>0.64</v>
      </c>
      <c r="F13">
        <v>1</v>
      </c>
      <c r="G13">
        <v>2</v>
      </c>
      <c r="H13">
        <v>0.01</v>
      </c>
      <c r="I13">
        <v>0</v>
      </c>
      <c r="J13">
        <v>0</v>
      </c>
      <c r="K13">
        <v>0.65</v>
      </c>
      <c r="L13">
        <v>1</v>
      </c>
      <c r="M13">
        <v>2</v>
      </c>
      <c r="N13">
        <v>2</v>
      </c>
      <c r="O13">
        <v>0.7</v>
      </c>
      <c r="P13">
        <v>0</v>
      </c>
      <c r="Q13">
        <v>0.39999999999999991</v>
      </c>
      <c r="R13">
        <v>3.1</v>
      </c>
      <c r="S13">
        <v>-2.4500000000000002</v>
      </c>
    </row>
    <row r="14" spans="1:19" x14ac:dyDescent="0.3">
      <c r="A14" t="s">
        <v>64</v>
      </c>
      <c r="B14" t="s">
        <v>29</v>
      </c>
      <c r="C14">
        <v>75677</v>
      </c>
      <c r="D14">
        <v>199487</v>
      </c>
      <c r="E14">
        <v>1.46</v>
      </c>
      <c r="F14">
        <v>1</v>
      </c>
      <c r="G14">
        <v>3</v>
      </c>
      <c r="H14">
        <v>3.2</v>
      </c>
      <c r="I14">
        <v>3</v>
      </c>
      <c r="J14">
        <v>4</v>
      </c>
      <c r="K14">
        <v>4.66</v>
      </c>
      <c r="L14">
        <v>5</v>
      </c>
      <c r="M14">
        <v>6</v>
      </c>
      <c r="N14">
        <v>7.2</v>
      </c>
      <c r="O14">
        <v>1.3</v>
      </c>
      <c r="P14">
        <v>0</v>
      </c>
      <c r="Q14">
        <v>2.5</v>
      </c>
      <c r="R14">
        <v>11</v>
      </c>
      <c r="S14">
        <v>-6.34</v>
      </c>
    </row>
    <row r="15" spans="1:19" x14ac:dyDescent="0.3">
      <c r="A15" t="s">
        <v>63</v>
      </c>
      <c r="B15" t="s">
        <v>28</v>
      </c>
      <c r="C15">
        <v>29404</v>
      </c>
      <c r="D15">
        <v>144822</v>
      </c>
      <c r="E15">
        <v>1.86</v>
      </c>
      <c r="F15">
        <v>2</v>
      </c>
      <c r="G15">
        <v>4</v>
      </c>
      <c r="H15">
        <v>1.21</v>
      </c>
      <c r="I15">
        <v>1</v>
      </c>
      <c r="J15">
        <v>2</v>
      </c>
      <c r="K15">
        <v>3.07</v>
      </c>
      <c r="L15">
        <v>3</v>
      </c>
      <c r="M15">
        <v>5</v>
      </c>
      <c r="N15">
        <v>2.8</v>
      </c>
      <c r="O15">
        <v>0.2</v>
      </c>
      <c r="P15">
        <v>0</v>
      </c>
      <c r="Q15">
        <v>1.3</v>
      </c>
      <c r="R15">
        <v>4.3</v>
      </c>
      <c r="S15">
        <v>-1.23</v>
      </c>
    </row>
    <row r="16" spans="1:19" x14ac:dyDescent="0.3">
      <c r="A16" t="s">
        <v>65</v>
      </c>
      <c r="B16" t="s">
        <v>32</v>
      </c>
      <c r="C16">
        <v>7811</v>
      </c>
      <c r="D16">
        <v>141748</v>
      </c>
      <c r="E16">
        <v>0.97</v>
      </c>
      <c r="F16">
        <v>1</v>
      </c>
      <c r="G16">
        <v>2</v>
      </c>
      <c r="H16">
        <v>1.01</v>
      </c>
      <c r="I16">
        <v>1</v>
      </c>
      <c r="J16">
        <v>1</v>
      </c>
      <c r="K16">
        <v>1.98</v>
      </c>
      <c r="L16">
        <v>2</v>
      </c>
      <c r="M16">
        <v>3</v>
      </c>
      <c r="N16">
        <v>3.7</v>
      </c>
      <c r="O16">
        <v>0.6</v>
      </c>
      <c r="P16">
        <v>0</v>
      </c>
      <c r="Q16">
        <v>1.3</v>
      </c>
      <c r="R16">
        <v>5.6</v>
      </c>
      <c r="S16">
        <v>-3.62</v>
      </c>
    </row>
    <row r="17" spans="1:19" x14ac:dyDescent="0.3">
      <c r="A17" t="s">
        <v>63</v>
      </c>
      <c r="B17" t="s">
        <v>21</v>
      </c>
      <c r="C17">
        <v>18915</v>
      </c>
      <c r="D17">
        <v>130061</v>
      </c>
      <c r="E17">
        <v>2.42</v>
      </c>
      <c r="F17">
        <v>2</v>
      </c>
      <c r="G17">
        <v>5</v>
      </c>
      <c r="H17">
        <v>1.21</v>
      </c>
      <c r="I17">
        <v>1</v>
      </c>
      <c r="J17">
        <v>2</v>
      </c>
      <c r="K17">
        <v>3.63</v>
      </c>
      <c r="L17">
        <v>4</v>
      </c>
      <c r="M17">
        <v>6</v>
      </c>
      <c r="N17">
        <v>9.1999999999999993</v>
      </c>
      <c r="O17">
        <v>0.7</v>
      </c>
      <c r="P17">
        <v>0</v>
      </c>
      <c r="Q17">
        <v>1.399999999999999</v>
      </c>
      <c r="R17">
        <v>11.3</v>
      </c>
      <c r="S17">
        <v>-7.67</v>
      </c>
    </row>
    <row r="18" spans="1:19" x14ac:dyDescent="0.3">
      <c r="A18" t="s">
        <v>63</v>
      </c>
      <c r="B18" t="s">
        <v>25</v>
      </c>
      <c r="C18">
        <v>18142</v>
      </c>
      <c r="D18">
        <v>125065</v>
      </c>
      <c r="E18">
        <v>3.26</v>
      </c>
      <c r="F18">
        <v>3</v>
      </c>
      <c r="G18">
        <v>6</v>
      </c>
      <c r="H18">
        <v>1.21</v>
      </c>
      <c r="I18">
        <v>1</v>
      </c>
      <c r="J18">
        <v>2</v>
      </c>
      <c r="K18">
        <v>4.47</v>
      </c>
      <c r="L18">
        <v>4</v>
      </c>
      <c r="M18">
        <v>7</v>
      </c>
      <c r="N18">
        <v>1.8</v>
      </c>
      <c r="O18">
        <v>1.4</v>
      </c>
      <c r="P18">
        <v>0</v>
      </c>
      <c r="Q18">
        <v>0.9</v>
      </c>
      <c r="R18">
        <v>4.0999999999999996</v>
      </c>
      <c r="S18">
        <v>0.37</v>
      </c>
    </row>
    <row r="19" spans="1:19" x14ac:dyDescent="0.3">
      <c r="A19" t="s">
        <v>65</v>
      </c>
      <c r="B19" t="s">
        <v>31</v>
      </c>
      <c r="C19">
        <v>10499</v>
      </c>
      <c r="D19">
        <v>116442</v>
      </c>
      <c r="E19">
        <v>1.31</v>
      </c>
      <c r="F19">
        <v>1</v>
      </c>
      <c r="G19">
        <v>3</v>
      </c>
      <c r="H19">
        <v>1.01</v>
      </c>
      <c r="I19">
        <v>1</v>
      </c>
      <c r="J19">
        <v>1</v>
      </c>
      <c r="K19">
        <v>2.3199999999999998</v>
      </c>
      <c r="L19">
        <v>2</v>
      </c>
      <c r="M19">
        <v>4</v>
      </c>
      <c r="N19">
        <v>2.8</v>
      </c>
      <c r="O19">
        <v>0.8</v>
      </c>
      <c r="P19">
        <v>0</v>
      </c>
      <c r="Q19">
        <v>1.3</v>
      </c>
      <c r="R19">
        <v>4.9000000000000004</v>
      </c>
      <c r="S19">
        <v>-2.58</v>
      </c>
    </row>
    <row r="20" spans="1:19" x14ac:dyDescent="0.3">
      <c r="A20" t="s">
        <v>64</v>
      </c>
      <c r="B20" t="s">
        <v>24</v>
      </c>
      <c r="C20">
        <v>38449</v>
      </c>
      <c r="D20">
        <v>106924</v>
      </c>
      <c r="E20">
        <v>2.68</v>
      </c>
      <c r="F20">
        <v>3</v>
      </c>
      <c r="G20">
        <v>5</v>
      </c>
      <c r="H20">
        <v>0.2</v>
      </c>
      <c r="I20">
        <v>0</v>
      </c>
      <c r="J20">
        <v>1</v>
      </c>
      <c r="K20">
        <v>2.89</v>
      </c>
      <c r="L20">
        <v>3</v>
      </c>
      <c r="M20">
        <v>6</v>
      </c>
      <c r="N20">
        <v>9.3000000000000007</v>
      </c>
      <c r="O20">
        <v>0.5</v>
      </c>
      <c r="P20">
        <v>0</v>
      </c>
      <c r="Q20">
        <v>0.70000000000000107</v>
      </c>
      <c r="R20">
        <v>10.5</v>
      </c>
      <c r="S20">
        <v>-7.61</v>
      </c>
    </row>
    <row r="21" spans="1:19" x14ac:dyDescent="0.3">
      <c r="A21" t="s">
        <v>66</v>
      </c>
      <c r="B21" t="s">
        <v>25</v>
      </c>
      <c r="C21">
        <v>14855</v>
      </c>
      <c r="D21">
        <v>75556</v>
      </c>
      <c r="E21">
        <v>0.15</v>
      </c>
      <c r="F21">
        <v>0</v>
      </c>
      <c r="G21">
        <v>1</v>
      </c>
      <c r="H21">
        <v>1.21</v>
      </c>
      <c r="I21">
        <v>1</v>
      </c>
      <c r="J21">
        <v>2</v>
      </c>
      <c r="K21">
        <v>1.36</v>
      </c>
      <c r="L21">
        <v>1</v>
      </c>
      <c r="M21">
        <v>2</v>
      </c>
      <c r="N21">
        <v>5.8</v>
      </c>
      <c r="O21">
        <v>0.5</v>
      </c>
      <c r="P21">
        <v>0</v>
      </c>
      <c r="Q21">
        <v>1.2</v>
      </c>
      <c r="R21">
        <v>7.5</v>
      </c>
      <c r="S21">
        <v>-6.14</v>
      </c>
    </row>
    <row r="22" spans="1:19" x14ac:dyDescent="0.3">
      <c r="A22" t="s">
        <v>65</v>
      </c>
      <c r="B22" t="s">
        <v>29</v>
      </c>
      <c r="C22">
        <v>16801</v>
      </c>
      <c r="D22">
        <v>74486</v>
      </c>
      <c r="E22">
        <v>1.1200000000000001</v>
      </c>
      <c r="F22">
        <v>1</v>
      </c>
      <c r="G22">
        <v>2</v>
      </c>
      <c r="H22">
        <v>3.2</v>
      </c>
      <c r="I22">
        <v>3</v>
      </c>
      <c r="J22">
        <v>4</v>
      </c>
      <c r="K22">
        <v>4.32</v>
      </c>
      <c r="L22">
        <v>4</v>
      </c>
      <c r="M22">
        <v>5</v>
      </c>
      <c r="N22">
        <v>7.1</v>
      </c>
      <c r="O22">
        <v>0.7</v>
      </c>
      <c r="P22">
        <v>0</v>
      </c>
      <c r="Q22">
        <v>3.6</v>
      </c>
      <c r="R22">
        <v>11.4</v>
      </c>
      <c r="S22">
        <v>-7.08</v>
      </c>
    </row>
    <row r="23" spans="1:19" x14ac:dyDescent="0.3">
      <c r="A23" t="s">
        <v>60</v>
      </c>
      <c r="B23" t="s">
        <v>27</v>
      </c>
      <c r="C23">
        <v>15637</v>
      </c>
      <c r="D23">
        <v>69126</v>
      </c>
      <c r="E23">
        <v>2.86</v>
      </c>
      <c r="F23">
        <v>3</v>
      </c>
      <c r="G23">
        <v>6</v>
      </c>
      <c r="H23">
        <v>1.2</v>
      </c>
      <c r="I23">
        <v>1</v>
      </c>
      <c r="J23">
        <v>2</v>
      </c>
      <c r="K23">
        <v>4.07</v>
      </c>
      <c r="L23">
        <v>4</v>
      </c>
      <c r="M23">
        <v>7</v>
      </c>
      <c r="N23">
        <v>11</v>
      </c>
      <c r="O23">
        <v>0.3</v>
      </c>
      <c r="P23">
        <v>0</v>
      </c>
      <c r="Q23">
        <v>1.8000000000000009</v>
      </c>
      <c r="R23">
        <v>13.1</v>
      </c>
      <c r="S23">
        <v>-9.0299999999999994</v>
      </c>
    </row>
    <row r="24" spans="1:19" x14ac:dyDescent="0.3">
      <c r="A24" t="s">
        <v>66</v>
      </c>
      <c r="B24" t="s">
        <v>21</v>
      </c>
      <c r="C24">
        <v>4610</v>
      </c>
      <c r="D24">
        <v>65509</v>
      </c>
      <c r="E24">
        <v>0.25</v>
      </c>
      <c r="F24">
        <v>0</v>
      </c>
      <c r="G24">
        <v>1</v>
      </c>
      <c r="H24">
        <v>0.85</v>
      </c>
      <c r="I24">
        <v>1</v>
      </c>
      <c r="J24">
        <v>1</v>
      </c>
      <c r="K24">
        <v>1.1000000000000001</v>
      </c>
      <c r="L24">
        <v>1</v>
      </c>
      <c r="M24">
        <v>2</v>
      </c>
      <c r="N24">
        <v>4.5999999999999996</v>
      </c>
      <c r="O24">
        <v>0.2</v>
      </c>
      <c r="P24">
        <v>0</v>
      </c>
      <c r="Q24">
        <v>0.5</v>
      </c>
      <c r="R24">
        <v>5.3</v>
      </c>
      <c r="S24">
        <v>-4.2</v>
      </c>
    </row>
    <row r="25" spans="1:19" x14ac:dyDescent="0.3">
      <c r="A25" t="s">
        <v>64</v>
      </c>
      <c r="B25" t="s">
        <v>26</v>
      </c>
      <c r="C25">
        <v>23478</v>
      </c>
      <c r="D25">
        <v>62283</v>
      </c>
      <c r="E25">
        <v>2.17</v>
      </c>
      <c r="F25">
        <v>2</v>
      </c>
      <c r="G25">
        <v>4</v>
      </c>
      <c r="H25">
        <v>1.2</v>
      </c>
      <c r="I25">
        <v>1</v>
      </c>
      <c r="J25">
        <v>2</v>
      </c>
      <c r="K25">
        <v>3.37</v>
      </c>
      <c r="L25">
        <v>3</v>
      </c>
      <c r="M25">
        <v>6</v>
      </c>
      <c r="N25">
        <v>5.7</v>
      </c>
      <c r="O25">
        <v>0.7</v>
      </c>
      <c r="P25">
        <v>0</v>
      </c>
      <c r="Q25">
        <v>1.7</v>
      </c>
      <c r="R25">
        <v>8.1</v>
      </c>
      <c r="S25">
        <v>-4.7300000000000004</v>
      </c>
    </row>
    <row r="26" spans="1:19" x14ac:dyDescent="0.3">
      <c r="A26" t="s">
        <v>63</v>
      </c>
      <c r="B26" t="s">
        <v>24</v>
      </c>
      <c r="C26">
        <v>14849</v>
      </c>
      <c r="D26">
        <v>57995</v>
      </c>
      <c r="E26">
        <v>2.82</v>
      </c>
      <c r="F26">
        <v>3</v>
      </c>
      <c r="G26">
        <v>6</v>
      </c>
      <c r="H26">
        <v>4.21</v>
      </c>
      <c r="I26">
        <v>4</v>
      </c>
      <c r="J26">
        <v>5</v>
      </c>
      <c r="K26">
        <v>7.03</v>
      </c>
      <c r="L26">
        <v>7</v>
      </c>
      <c r="M26">
        <v>10</v>
      </c>
      <c r="N26">
        <v>16.8</v>
      </c>
      <c r="O26">
        <v>1</v>
      </c>
      <c r="P26">
        <v>0</v>
      </c>
      <c r="Q26">
        <v>3.8000000000000012</v>
      </c>
      <c r="R26">
        <v>21.6</v>
      </c>
      <c r="S26">
        <v>-14.57</v>
      </c>
    </row>
    <row r="27" spans="1:19" x14ac:dyDescent="0.3">
      <c r="A27" t="s">
        <v>67</v>
      </c>
      <c r="B27" t="s">
        <v>27</v>
      </c>
      <c r="C27">
        <v>5350</v>
      </c>
      <c r="D27">
        <v>53708</v>
      </c>
      <c r="E27">
        <v>2.08</v>
      </c>
      <c r="F27">
        <v>2</v>
      </c>
      <c r="G27">
        <v>4</v>
      </c>
      <c r="H27">
        <v>0.2</v>
      </c>
      <c r="I27">
        <v>0</v>
      </c>
      <c r="J27">
        <v>1</v>
      </c>
      <c r="K27">
        <v>2.2799999999999998</v>
      </c>
      <c r="L27">
        <v>2</v>
      </c>
      <c r="M27">
        <v>4</v>
      </c>
      <c r="N27">
        <v>1.9</v>
      </c>
      <c r="O27">
        <v>0.3</v>
      </c>
      <c r="P27">
        <v>0</v>
      </c>
      <c r="Q27">
        <v>0.89999999999999991</v>
      </c>
      <c r="R27">
        <v>3.1</v>
      </c>
      <c r="S27">
        <v>-0.82</v>
      </c>
    </row>
    <row r="28" spans="1:19" x14ac:dyDescent="0.3">
      <c r="A28" t="s">
        <v>60</v>
      </c>
      <c r="B28" t="s">
        <v>28</v>
      </c>
      <c r="C28">
        <v>13029</v>
      </c>
      <c r="D28">
        <v>43818</v>
      </c>
      <c r="E28">
        <v>2.87</v>
      </c>
      <c r="F28">
        <v>3</v>
      </c>
      <c r="G28">
        <v>6</v>
      </c>
      <c r="H28">
        <v>1.21</v>
      </c>
      <c r="I28">
        <v>1</v>
      </c>
      <c r="J28">
        <v>2</v>
      </c>
      <c r="K28">
        <v>4.08</v>
      </c>
      <c r="L28">
        <v>4</v>
      </c>
      <c r="M28">
        <v>7</v>
      </c>
      <c r="N28">
        <v>14</v>
      </c>
      <c r="O28">
        <v>0.4</v>
      </c>
      <c r="P28">
        <v>0</v>
      </c>
      <c r="Q28">
        <v>1.8000000000000009</v>
      </c>
      <c r="R28">
        <v>16.2</v>
      </c>
      <c r="S28">
        <v>-12.12</v>
      </c>
    </row>
    <row r="29" spans="1:19" x14ac:dyDescent="0.3">
      <c r="A29" t="s">
        <v>66</v>
      </c>
      <c r="B29" t="s">
        <v>24</v>
      </c>
      <c r="C29">
        <v>6036</v>
      </c>
      <c r="D29">
        <v>33437</v>
      </c>
      <c r="E29">
        <v>0.61</v>
      </c>
      <c r="F29">
        <v>0</v>
      </c>
      <c r="G29">
        <v>2</v>
      </c>
      <c r="H29">
        <v>0.22</v>
      </c>
      <c r="I29">
        <v>0</v>
      </c>
      <c r="J29">
        <v>1</v>
      </c>
      <c r="K29">
        <v>0.83</v>
      </c>
      <c r="L29">
        <v>1</v>
      </c>
      <c r="M29">
        <v>2</v>
      </c>
      <c r="N29">
        <v>2.4</v>
      </c>
      <c r="O29">
        <v>0.5</v>
      </c>
      <c r="P29">
        <v>0</v>
      </c>
      <c r="Q29">
        <v>0.19999999999999971</v>
      </c>
      <c r="R29">
        <v>3.1</v>
      </c>
      <c r="S29">
        <v>-2.27</v>
      </c>
    </row>
    <row r="30" spans="1:19" x14ac:dyDescent="0.3">
      <c r="A30" t="s">
        <v>67</v>
      </c>
      <c r="B30" t="s">
        <v>28</v>
      </c>
      <c r="C30">
        <v>3412</v>
      </c>
      <c r="D30">
        <v>31847</v>
      </c>
      <c r="E30">
        <v>2.0499999999999998</v>
      </c>
      <c r="F30">
        <v>2</v>
      </c>
      <c r="G30">
        <v>4</v>
      </c>
      <c r="H30">
        <v>0.2</v>
      </c>
      <c r="I30">
        <v>0</v>
      </c>
      <c r="J30">
        <v>1</v>
      </c>
      <c r="K30">
        <v>2.25</v>
      </c>
      <c r="L30">
        <v>2</v>
      </c>
      <c r="M30">
        <v>4</v>
      </c>
      <c r="N30">
        <v>1.8</v>
      </c>
      <c r="O30">
        <v>0</v>
      </c>
      <c r="P30">
        <v>0</v>
      </c>
      <c r="Q30">
        <v>0.8</v>
      </c>
      <c r="R30">
        <v>2.6</v>
      </c>
      <c r="S30">
        <v>-0.35</v>
      </c>
    </row>
    <row r="31" spans="1:19" x14ac:dyDescent="0.3">
      <c r="A31" t="s">
        <v>63</v>
      </c>
      <c r="B31" t="s">
        <v>26</v>
      </c>
      <c r="C31">
        <v>9451</v>
      </c>
      <c r="D31">
        <v>28190</v>
      </c>
      <c r="E31">
        <v>5.41</v>
      </c>
      <c r="F31">
        <v>5</v>
      </c>
      <c r="G31">
        <v>11</v>
      </c>
      <c r="H31">
        <v>3.21</v>
      </c>
      <c r="I31">
        <v>3</v>
      </c>
      <c r="J31">
        <v>4</v>
      </c>
      <c r="K31">
        <v>8.6199999999999992</v>
      </c>
      <c r="L31">
        <v>8</v>
      </c>
      <c r="M31">
        <v>14</v>
      </c>
      <c r="N31">
        <v>12.5</v>
      </c>
      <c r="O31">
        <v>1</v>
      </c>
      <c r="P31">
        <v>0</v>
      </c>
      <c r="Q31">
        <v>2.6999999999999988</v>
      </c>
      <c r="R31">
        <v>16.2</v>
      </c>
      <c r="S31">
        <v>-7.58</v>
      </c>
    </row>
    <row r="32" spans="1:19" x14ac:dyDescent="0.3">
      <c r="A32" t="s">
        <v>68</v>
      </c>
      <c r="B32" t="s">
        <v>26</v>
      </c>
      <c r="C32">
        <v>2489</v>
      </c>
      <c r="D32">
        <v>8354</v>
      </c>
      <c r="E32">
        <v>2.91</v>
      </c>
      <c r="F32">
        <v>3</v>
      </c>
      <c r="G32">
        <v>6</v>
      </c>
      <c r="H32">
        <v>2.2000000000000002</v>
      </c>
      <c r="I32">
        <v>2</v>
      </c>
      <c r="J32">
        <v>3</v>
      </c>
      <c r="K32">
        <v>5.1100000000000003</v>
      </c>
      <c r="L32">
        <v>5</v>
      </c>
      <c r="M32">
        <v>8</v>
      </c>
      <c r="N32">
        <v>2</v>
      </c>
      <c r="O32">
        <v>1</v>
      </c>
      <c r="P32">
        <v>0</v>
      </c>
      <c r="Q32">
        <v>1</v>
      </c>
      <c r="R32">
        <v>4</v>
      </c>
      <c r="S32">
        <v>1.1100000000000001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69</v>
      </c>
      <c r="B1" s="1" t="s">
        <v>44</v>
      </c>
      <c r="C1" s="1" t="s">
        <v>45</v>
      </c>
      <c r="D1" s="1" t="s">
        <v>48</v>
      </c>
      <c r="E1" s="1" t="s">
        <v>51</v>
      </c>
    </row>
    <row r="2" spans="1:5" x14ac:dyDescent="0.3">
      <c r="A2">
        <v>1109800</v>
      </c>
      <c r="B2">
        <v>5568080</v>
      </c>
      <c r="C2">
        <v>1.1000000000000001</v>
      </c>
      <c r="D2">
        <v>1.36</v>
      </c>
      <c r="E2">
        <v>2.46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70</v>
      </c>
      <c r="B1" s="1" t="s">
        <v>71</v>
      </c>
      <c r="C1" s="1" t="s">
        <v>72</v>
      </c>
      <c r="D1" s="1" t="s">
        <v>73</v>
      </c>
    </row>
    <row r="2" spans="1:4" x14ac:dyDescent="0.3">
      <c r="A2">
        <v>3535</v>
      </c>
      <c r="B2">
        <v>3482</v>
      </c>
      <c r="C2">
        <v>53</v>
      </c>
      <c r="D2">
        <v>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service_month_location</vt:lpstr>
      <vt:lpstr>rccp_month</vt:lpstr>
      <vt:lpstr>rccp_month_location</vt:lpstr>
      <vt:lpstr>lane_leadtime</vt:lpstr>
      <vt:lpstr>leadtime_summary</vt:lpstr>
      <vt:lpstr>conversion_coverage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2026-05-18T03:08:47Z</dcterms:created>
  <dcterms:modified xsi:type="dcterms:W3CDTF">2026-05-18T03:28:48Z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2026-05-18T03:26:44Z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26bdc08c-40c3-485b-a263-81d92b481e66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