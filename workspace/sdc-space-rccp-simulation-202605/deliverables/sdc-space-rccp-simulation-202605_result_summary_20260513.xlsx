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sdc-space-rccp-simulation-202605\deliverables\"/>
    </mc:Choice>
  </mc:AlternateContent>
  <xr:revisionPtr revIDLastSave="0" documentId="13_ncr:1_{69F5B7CD-50B5-47CB-A62C-56CC6DDBA976}" xr6:coauthVersionLast="47" xr6:coauthVersionMax="47" xr10:uidLastSave="{00000000-0000-0000-0000-000000000000}"/>
  <bookViews>
    <workbookView xWindow="5688" yWindow="-12660" windowWidth="21600" windowHeight="11304" activeTab="3" xr2:uid="{00000000-000D-0000-FFFF-FFFF00000000}"/>
  </bookViews>
  <sheets>
    <sheet name="CFR_by_Month" sheetId="1" r:id="rId1"/>
    <sheet name="CFR_by_Month_DC" sheetId="2" r:id="rId2"/>
    <sheet name="RCCP_by_Month" sheetId="3" r:id="rId3"/>
    <sheet name="RCCP_by_Month_DC" sheetId="4" r:id="rId4"/>
    <sheet name="MonthEnd_Inv_Network" sheetId="5" r:id="rId5"/>
    <sheet name="MonthEnd_Inv_by_DC" sheetId="6" r:id="rId6"/>
    <sheet name="Lane_LeadTime" sheetId="7" r:id="rId7"/>
  </sheets>
  <definedNames>
    <definedName name="_xlnm._FilterDatabase" localSheetId="3" hidden="1">RCCP_by_Month_DC!$A$1:$D$85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4" l="1"/>
  <c r="E52" i="4"/>
  <c r="E53" i="4"/>
  <c r="E54" i="4"/>
  <c r="E55" i="4"/>
  <c r="E56" i="4"/>
  <c r="E57" i="4"/>
  <c r="E58" i="4"/>
  <c r="E59" i="4"/>
  <c r="E60" i="4"/>
  <c r="E61" i="4"/>
  <c r="E50" i="4"/>
</calcChain>
</file>

<file path=xl/sharedStrings.xml><?xml version="1.0" encoding="utf-8"?>
<sst xmlns="http://schemas.openxmlformats.org/spreadsheetml/2006/main" count="823" uniqueCount="115">
  <si>
    <t>month</t>
  </si>
  <si>
    <t>shipment_qty</t>
  </si>
  <si>
    <t>order_qty</t>
  </si>
  <si>
    <t>cfr</t>
  </si>
  <si>
    <t>2026-06</t>
  </si>
  <si>
    <t>2026-07</t>
  </si>
  <si>
    <t>2026-08</t>
  </si>
  <si>
    <t>2026-09</t>
  </si>
  <si>
    <t>2026-10</t>
  </si>
  <si>
    <t>2026-11</t>
  </si>
  <si>
    <t>2026-12</t>
  </si>
  <si>
    <t>receiving</t>
  </si>
  <si>
    <t>C819</t>
  </si>
  <si>
    <t>C937</t>
  </si>
  <si>
    <t>D767</t>
  </si>
  <si>
    <t>E556-QD</t>
  </si>
  <si>
    <t>E556-ZZ</t>
  </si>
  <si>
    <t>E560</t>
  </si>
  <si>
    <t>E564-FZ</t>
  </si>
  <si>
    <t>E564-NC</t>
  </si>
  <si>
    <t>E568</t>
  </si>
  <si>
    <t>E569-CQ</t>
  </si>
  <si>
    <t>E569-GY</t>
  </si>
  <si>
    <t>E569-KM</t>
  </si>
  <si>
    <t>rccp_cbm</t>
  </si>
  <si>
    <t>peak_date</t>
  </si>
  <si>
    <t>2026-06-30</t>
  </si>
  <si>
    <t>2026-07-03</t>
  </si>
  <si>
    <t>2026-08-01</t>
  </si>
  <si>
    <t>2026-09-03</t>
  </si>
  <si>
    <t>2026-10-27</t>
  </si>
  <si>
    <t>2026-11-02</t>
  </si>
  <si>
    <t>2026-12-26</t>
  </si>
  <si>
    <t>location</t>
  </si>
  <si>
    <t>2026-06-29</t>
  </si>
  <si>
    <t>2026-07-08</t>
  </si>
  <si>
    <t>2026-07-01</t>
  </si>
  <si>
    <t>2026-07-29</t>
  </si>
  <si>
    <t>2026-07-04</t>
  </si>
  <si>
    <t>2026-08-04</t>
  </si>
  <si>
    <t>2026-08-31</t>
  </si>
  <si>
    <t>2026-08-05</t>
  </si>
  <si>
    <t>2026-08-13</t>
  </si>
  <si>
    <t>2026-08-02</t>
  </si>
  <si>
    <t>2026-08-03</t>
  </si>
  <si>
    <t>2026-08-28</t>
  </si>
  <si>
    <t>2026-08-07</t>
  </si>
  <si>
    <t>2026-09-02</t>
  </si>
  <si>
    <t>2026-09-29</t>
  </si>
  <si>
    <t>2026-09-25</t>
  </si>
  <si>
    <t>2026-09-01</t>
  </si>
  <si>
    <t>2026-09-04</t>
  </si>
  <si>
    <t>2026-09-14</t>
  </si>
  <si>
    <t>2026-09-28</t>
  </si>
  <si>
    <t>2026-10-29</t>
  </si>
  <si>
    <t>2026-10-23</t>
  </si>
  <si>
    <t>2026-10-24</t>
  </si>
  <si>
    <t>2026-10-28</t>
  </si>
  <si>
    <t>2026-10-31</t>
  </si>
  <si>
    <t>2026-10-05</t>
  </si>
  <si>
    <t>2026-11-05</t>
  </si>
  <si>
    <t>2026-11-03</t>
  </si>
  <si>
    <t>2026-11-01</t>
  </si>
  <si>
    <t>2026-11-07</t>
  </si>
  <si>
    <t>2026-11-08</t>
  </si>
  <si>
    <t>2026-12-29</t>
  </si>
  <si>
    <t>2026-12-22</t>
  </si>
  <si>
    <t>2026-12-30</t>
  </si>
  <si>
    <t>2026-12-31</t>
  </si>
  <si>
    <t>2026-12-24</t>
  </si>
  <si>
    <t>2026-12-25</t>
  </si>
  <si>
    <t>2026-12-28</t>
  </si>
  <si>
    <t>month_end_date</t>
  </si>
  <si>
    <t>inventory_qty</t>
  </si>
  <si>
    <t>inventory_cbm</t>
  </si>
  <si>
    <t>2026-07-31</t>
  </si>
  <si>
    <t>2026-09-30</t>
  </si>
  <si>
    <t>2026-11-30</t>
  </si>
  <si>
    <t>sending</t>
  </si>
  <si>
    <t>uid_cnt</t>
  </si>
  <si>
    <t>total_qty</t>
  </si>
  <si>
    <t>mean_wait_moq</t>
  </si>
  <si>
    <t>median_wait_moq</t>
  </si>
  <si>
    <t>p90_wait_moq</t>
  </si>
  <si>
    <t>mean_otd</t>
  </si>
  <si>
    <t>median_otd</t>
  </si>
  <si>
    <t>p90_otd</t>
  </si>
  <si>
    <t>mean_ptd</t>
  </si>
  <si>
    <t>median_ptd</t>
  </si>
  <si>
    <t>p90_ptd</t>
  </si>
  <si>
    <t>cfg_pdt</t>
  </si>
  <si>
    <t>cfg_otd</t>
  </si>
  <si>
    <t>cfg_gr</t>
  </si>
  <si>
    <t>cfg_total_lt</t>
  </si>
  <si>
    <t>A672</t>
  </si>
  <si>
    <t>A673</t>
  </si>
  <si>
    <t>C339</t>
  </si>
  <si>
    <t>C810</t>
  </si>
  <si>
    <t>C816</t>
  </si>
  <si>
    <t>5730</t>
  </si>
  <si>
    <t>D235</t>
  </si>
  <si>
    <t>E499</t>
  </si>
  <si>
    <t>5204</t>
  </si>
  <si>
    <t>长沙</t>
  </si>
  <si>
    <t>济南</t>
  </si>
  <si>
    <t>南宁</t>
  </si>
  <si>
    <t>青岛</t>
  </si>
  <si>
    <t>郑州</t>
  </si>
  <si>
    <t>哈尔滨</t>
  </si>
  <si>
    <t>福州</t>
  </si>
  <si>
    <t>新疆</t>
  </si>
  <si>
    <t>南昌</t>
  </si>
  <si>
    <t>重庆</t>
  </si>
  <si>
    <t>贵阳</t>
  </si>
  <si>
    <t>昆明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</si>
</sst>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M15" sqref="M1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64363</v>
      </c>
      <c r="C2">
        <v>64373</v>
      </c>
      <c r="D2">
        <v>0.99980000000000002</v>
      </c>
    </row>
    <row r="3" spans="1:4" x14ac:dyDescent="0.3">
      <c r="A3" t="s">
        <v>5</v>
      </c>
      <c r="B3">
        <v>1278845</v>
      </c>
      <c r="C3">
        <v>1432073</v>
      </c>
      <c r="D3">
        <v>0.89300000000000002</v>
      </c>
    </row>
    <row r="4" spans="1:4" x14ac:dyDescent="0.3">
      <c r="A4" t="s">
        <v>6</v>
      </c>
      <c r="B4">
        <v>1189141</v>
      </c>
      <c r="C4">
        <v>1502973</v>
      </c>
      <c r="D4">
        <v>0.79120000000000001</v>
      </c>
    </row>
    <row r="5" spans="1:4" x14ac:dyDescent="0.3">
      <c r="A5" t="s">
        <v>7</v>
      </c>
      <c r="B5">
        <v>1116137</v>
      </c>
      <c r="C5">
        <v>1416196</v>
      </c>
      <c r="D5">
        <v>0.78810000000000002</v>
      </c>
    </row>
    <row r="6" spans="1:4" x14ac:dyDescent="0.3">
      <c r="A6" t="s">
        <v>8</v>
      </c>
      <c r="B6">
        <v>1182654</v>
      </c>
      <c r="C6">
        <v>1434634</v>
      </c>
      <c r="D6">
        <v>0.82440000000000002</v>
      </c>
    </row>
    <row r="7" spans="1:4" x14ac:dyDescent="0.3">
      <c r="A7" t="s">
        <v>9</v>
      </c>
      <c r="B7">
        <v>1080723</v>
      </c>
      <c r="C7">
        <v>1107598</v>
      </c>
      <c r="D7">
        <v>0.97570000000000001</v>
      </c>
    </row>
    <row r="8" spans="1:4" x14ac:dyDescent="0.3">
      <c r="A8" t="s">
        <v>10</v>
      </c>
      <c r="B8">
        <v>1068309</v>
      </c>
      <c r="C8">
        <v>1093964</v>
      </c>
      <c r="D8">
        <v>0.97650000000000003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12</v>
      </c>
      <c r="C2">
        <v>4427</v>
      </c>
      <c r="D2">
        <v>4427</v>
      </c>
      <c r="E2">
        <v>1</v>
      </c>
    </row>
    <row r="3" spans="1:5" x14ac:dyDescent="0.3">
      <c r="A3" t="s">
        <v>4</v>
      </c>
      <c r="B3" t="s">
        <v>13</v>
      </c>
      <c r="C3">
        <v>6056</v>
      </c>
      <c r="D3">
        <v>6057</v>
      </c>
      <c r="E3">
        <v>0.99980000000000002</v>
      </c>
    </row>
    <row r="4" spans="1:5" x14ac:dyDescent="0.3">
      <c r="A4" t="s">
        <v>4</v>
      </c>
      <c r="B4" t="s">
        <v>14</v>
      </c>
      <c r="C4">
        <v>10662</v>
      </c>
      <c r="D4">
        <v>10667</v>
      </c>
      <c r="E4">
        <v>0.99950000000000006</v>
      </c>
    </row>
    <row r="5" spans="1:5" x14ac:dyDescent="0.3">
      <c r="A5" t="s">
        <v>4</v>
      </c>
      <c r="B5" t="s">
        <v>15</v>
      </c>
      <c r="C5">
        <v>1912</v>
      </c>
      <c r="D5">
        <v>1912</v>
      </c>
      <c r="E5">
        <v>1</v>
      </c>
    </row>
    <row r="6" spans="1:5" x14ac:dyDescent="0.3">
      <c r="A6" t="s">
        <v>4</v>
      </c>
      <c r="B6" t="s">
        <v>16</v>
      </c>
      <c r="C6">
        <v>5102</v>
      </c>
      <c r="D6">
        <v>5103</v>
      </c>
      <c r="E6">
        <v>0.99980000000000002</v>
      </c>
    </row>
    <row r="7" spans="1:5" x14ac:dyDescent="0.3">
      <c r="A7" t="s">
        <v>4</v>
      </c>
      <c r="B7" t="s">
        <v>17</v>
      </c>
      <c r="C7">
        <v>1214</v>
      </c>
      <c r="D7">
        <v>1214</v>
      </c>
      <c r="E7">
        <v>1</v>
      </c>
    </row>
    <row r="8" spans="1:5" x14ac:dyDescent="0.3">
      <c r="A8" t="s">
        <v>4</v>
      </c>
      <c r="B8" t="s">
        <v>18</v>
      </c>
      <c r="C8">
        <v>5578</v>
      </c>
      <c r="D8">
        <v>5579</v>
      </c>
      <c r="E8">
        <v>0.99980000000000002</v>
      </c>
    </row>
    <row r="9" spans="1:5" x14ac:dyDescent="0.3">
      <c r="A9" t="s">
        <v>4</v>
      </c>
      <c r="B9" t="s">
        <v>19</v>
      </c>
      <c r="C9">
        <v>3776</v>
      </c>
      <c r="D9">
        <v>3776</v>
      </c>
      <c r="E9">
        <v>1</v>
      </c>
    </row>
    <row r="10" spans="1:5" x14ac:dyDescent="0.3">
      <c r="A10" t="s">
        <v>4</v>
      </c>
      <c r="B10" t="s">
        <v>20</v>
      </c>
      <c r="C10">
        <v>3160</v>
      </c>
      <c r="D10">
        <v>3160</v>
      </c>
      <c r="E10">
        <v>1</v>
      </c>
    </row>
    <row r="11" spans="1:5" x14ac:dyDescent="0.3">
      <c r="A11" t="s">
        <v>4</v>
      </c>
      <c r="B11" t="s">
        <v>21</v>
      </c>
      <c r="C11">
        <v>8019</v>
      </c>
      <c r="D11">
        <v>8021</v>
      </c>
      <c r="E11">
        <v>0.99980000000000002</v>
      </c>
    </row>
    <row r="12" spans="1:5" x14ac:dyDescent="0.3">
      <c r="A12" t="s">
        <v>4</v>
      </c>
      <c r="B12" t="s">
        <v>22</v>
      </c>
      <c r="C12">
        <v>6229</v>
      </c>
      <c r="D12">
        <v>6229</v>
      </c>
      <c r="E12">
        <v>1</v>
      </c>
    </row>
    <row r="13" spans="1:5" x14ac:dyDescent="0.3">
      <c r="A13" t="s">
        <v>4</v>
      </c>
      <c r="B13" t="s">
        <v>23</v>
      </c>
      <c r="C13">
        <v>8228</v>
      </c>
      <c r="D13">
        <v>8228</v>
      </c>
      <c r="E13">
        <v>1</v>
      </c>
    </row>
    <row r="14" spans="1:5" x14ac:dyDescent="0.3">
      <c r="A14" t="s">
        <v>5</v>
      </c>
      <c r="B14" t="s">
        <v>12</v>
      </c>
      <c r="C14">
        <v>87435</v>
      </c>
      <c r="D14">
        <v>97706</v>
      </c>
      <c r="E14">
        <v>0.89490000000000003</v>
      </c>
    </row>
    <row r="15" spans="1:5" x14ac:dyDescent="0.3">
      <c r="A15" t="s">
        <v>5</v>
      </c>
      <c r="B15" t="s">
        <v>13</v>
      </c>
      <c r="C15">
        <v>106801</v>
      </c>
      <c r="D15">
        <v>122940</v>
      </c>
      <c r="E15">
        <v>0.86870000000000003</v>
      </c>
    </row>
    <row r="16" spans="1:5" x14ac:dyDescent="0.3">
      <c r="A16" t="s">
        <v>5</v>
      </c>
      <c r="B16" t="s">
        <v>14</v>
      </c>
      <c r="C16">
        <v>265237</v>
      </c>
      <c r="D16">
        <v>294156</v>
      </c>
      <c r="E16">
        <v>0.90169999999999995</v>
      </c>
    </row>
    <row r="17" spans="1:5" x14ac:dyDescent="0.3">
      <c r="A17" t="s">
        <v>5</v>
      </c>
      <c r="B17" t="s">
        <v>15</v>
      </c>
      <c r="C17">
        <v>33289</v>
      </c>
      <c r="D17">
        <v>43510</v>
      </c>
      <c r="E17">
        <v>0.7651</v>
      </c>
    </row>
    <row r="18" spans="1:5" x14ac:dyDescent="0.3">
      <c r="A18" t="s">
        <v>5</v>
      </c>
      <c r="B18" t="s">
        <v>16</v>
      </c>
      <c r="C18">
        <v>110217</v>
      </c>
      <c r="D18">
        <v>112440</v>
      </c>
      <c r="E18">
        <v>0.98019999999999996</v>
      </c>
    </row>
    <row r="19" spans="1:5" x14ac:dyDescent="0.3">
      <c r="A19" t="s">
        <v>5</v>
      </c>
      <c r="B19" t="s">
        <v>17</v>
      </c>
      <c r="C19">
        <v>23312</v>
      </c>
      <c r="D19">
        <v>23950</v>
      </c>
      <c r="E19">
        <v>0.97340000000000004</v>
      </c>
    </row>
    <row r="20" spans="1:5" x14ac:dyDescent="0.3">
      <c r="A20" t="s">
        <v>5</v>
      </c>
      <c r="B20" t="s">
        <v>18</v>
      </c>
      <c r="C20">
        <v>101342</v>
      </c>
      <c r="D20">
        <v>114716</v>
      </c>
      <c r="E20">
        <v>0.88339999999999996</v>
      </c>
    </row>
    <row r="21" spans="1:5" x14ac:dyDescent="0.3">
      <c r="A21" t="s">
        <v>5</v>
      </c>
      <c r="B21" t="s">
        <v>19</v>
      </c>
      <c r="C21">
        <v>71348</v>
      </c>
      <c r="D21">
        <v>75621</v>
      </c>
      <c r="E21">
        <v>0.94350000000000001</v>
      </c>
    </row>
    <row r="22" spans="1:5" x14ac:dyDescent="0.3">
      <c r="A22" t="s">
        <v>5</v>
      </c>
      <c r="B22" t="s">
        <v>20</v>
      </c>
      <c r="C22">
        <v>63563</v>
      </c>
      <c r="D22">
        <v>70876</v>
      </c>
      <c r="E22">
        <v>0.89680000000000004</v>
      </c>
    </row>
    <row r="23" spans="1:5" x14ac:dyDescent="0.3">
      <c r="A23" t="s">
        <v>5</v>
      </c>
      <c r="B23" t="s">
        <v>21</v>
      </c>
      <c r="C23">
        <v>170738</v>
      </c>
      <c r="D23">
        <v>185719</v>
      </c>
      <c r="E23">
        <v>0.91930000000000001</v>
      </c>
    </row>
    <row r="24" spans="1:5" x14ac:dyDescent="0.3">
      <c r="A24" t="s">
        <v>5</v>
      </c>
      <c r="B24" t="s">
        <v>22</v>
      </c>
      <c r="C24">
        <v>107759</v>
      </c>
      <c r="D24">
        <v>129119</v>
      </c>
      <c r="E24">
        <v>0.83460000000000001</v>
      </c>
    </row>
    <row r="25" spans="1:5" x14ac:dyDescent="0.3">
      <c r="A25" t="s">
        <v>5</v>
      </c>
      <c r="B25" t="s">
        <v>23</v>
      </c>
      <c r="C25">
        <v>137804</v>
      </c>
      <c r="D25">
        <v>161320</v>
      </c>
      <c r="E25">
        <v>0.85419999999999996</v>
      </c>
    </row>
    <row r="26" spans="1:5" x14ac:dyDescent="0.3">
      <c r="A26" t="s">
        <v>6</v>
      </c>
      <c r="B26" t="s">
        <v>12</v>
      </c>
      <c r="C26">
        <v>85957</v>
      </c>
      <c r="D26">
        <v>101373</v>
      </c>
      <c r="E26">
        <v>0.84789999999999999</v>
      </c>
    </row>
    <row r="27" spans="1:5" x14ac:dyDescent="0.3">
      <c r="A27" t="s">
        <v>6</v>
      </c>
      <c r="B27" t="s">
        <v>13</v>
      </c>
      <c r="C27">
        <v>93492</v>
      </c>
      <c r="D27">
        <v>128882</v>
      </c>
      <c r="E27">
        <v>0.72540000000000004</v>
      </c>
    </row>
    <row r="28" spans="1:5" x14ac:dyDescent="0.3">
      <c r="A28" t="s">
        <v>6</v>
      </c>
      <c r="B28" t="s">
        <v>14</v>
      </c>
      <c r="C28">
        <v>267693</v>
      </c>
      <c r="D28">
        <v>310995</v>
      </c>
      <c r="E28">
        <v>0.86080000000000001</v>
      </c>
    </row>
    <row r="29" spans="1:5" x14ac:dyDescent="0.3">
      <c r="A29" t="s">
        <v>6</v>
      </c>
      <c r="B29" t="s">
        <v>15</v>
      </c>
      <c r="C29">
        <v>34287</v>
      </c>
      <c r="D29">
        <v>47979</v>
      </c>
      <c r="E29">
        <v>0.71460000000000001</v>
      </c>
    </row>
    <row r="30" spans="1:5" x14ac:dyDescent="0.3">
      <c r="A30" t="s">
        <v>6</v>
      </c>
      <c r="B30" t="s">
        <v>16</v>
      </c>
      <c r="C30">
        <v>100115</v>
      </c>
      <c r="D30">
        <v>120552</v>
      </c>
      <c r="E30">
        <v>0.83050000000000002</v>
      </c>
    </row>
    <row r="31" spans="1:5" x14ac:dyDescent="0.3">
      <c r="A31" t="s">
        <v>6</v>
      </c>
      <c r="B31" t="s">
        <v>17</v>
      </c>
      <c r="C31">
        <v>19312</v>
      </c>
      <c r="D31">
        <v>26563</v>
      </c>
      <c r="E31">
        <v>0.72699999999999998</v>
      </c>
    </row>
    <row r="32" spans="1:5" x14ac:dyDescent="0.3">
      <c r="A32" t="s">
        <v>6</v>
      </c>
      <c r="B32" t="s">
        <v>18</v>
      </c>
      <c r="C32">
        <v>88328</v>
      </c>
      <c r="D32">
        <v>117653</v>
      </c>
      <c r="E32">
        <v>0.75080000000000002</v>
      </c>
    </row>
    <row r="33" spans="1:5" x14ac:dyDescent="0.3">
      <c r="A33" t="s">
        <v>6</v>
      </c>
      <c r="B33" t="s">
        <v>19</v>
      </c>
      <c r="C33">
        <v>54008</v>
      </c>
      <c r="D33">
        <v>76961</v>
      </c>
      <c r="E33">
        <v>0.70179999999999998</v>
      </c>
    </row>
    <row r="34" spans="1:5" x14ac:dyDescent="0.3">
      <c r="A34" t="s">
        <v>6</v>
      </c>
      <c r="B34" t="s">
        <v>20</v>
      </c>
      <c r="C34">
        <v>51655</v>
      </c>
      <c r="D34">
        <v>75937</v>
      </c>
      <c r="E34">
        <v>0.68020000000000003</v>
      </c>
    </row>
    <row r="35" spans="1:5" x14ac:dyDescent="0.3">
      <c r="A35" t="s">
        <v>6</v>
      </c>
      <c r="B35" t="s">
        <v>21</v>
      </c>
      <c r="C35">
        <v>170467</v>
      </c>
      <c r="D35">
        <v>198169</v>
      </c>
      <c r="E35">
        <v>0.86019999999999996</v>
      </c>
    </row>
    <row r="36" spans="1:5" x14ac:dyDescent="0.3">
      <c r="A36" t="s">
        <v>6</v>
      </c>
      <c r="B36" t="s">
        <v>22</v>
      </c>
      <c r="C36">
        <v>100347</v>
      </c>
      <c r="D36">
        <v>133873</v>
      </c>
      <c r="E36">
        <v>0.74960000000000004</v>
      </c>
    </row>
    <row r="37" spans="1:5" x14ac:dyDescent="0.3">
      <c r="A37" t="s">
        <v>6</v>
      </c>
      <c r="B37" t="s">
        <v>23</v>
      </c>
      <c r="C37">
        <v>123480</v>
      </c>
      <c r="D37">
        <v>164036</v>
      </c>
      <c r="E37">
        <v>0.75280000000000002</v>
      </c>
    </row>
    <row r="38" spans="1:5" x14ac:dyDescent="0.3">
      <c r="A38" t="s">
        <v>7</v>
      </c>
      <c r="B38" t="s">
        <v>12</v>
      </c>
      <c r="C38">
        <v>80539</v>
      </c>
      <c r="D38">
        <v>95921</v>
      </c>
      <c r="E38">
        <v>0.83960000000000001</v>
      </c>
    </row>
    <row r="39" spans="1:5" x14ac:dyDescent="0.3">
      <c r="A39" t="s">
        <v>7</v>
      </c>
      <c r="B39" t="s">
        <v>13</v>
      </c>
      <c r="C39">
        <v>91408</v>
      </c>
      <c r="D39">
        <v>127092</v>
      </c>
      <c r="E39">
        <v>0.71919999999999995</v>
      </c>
    </row>
    <row r="40" spans="1:5" x14ac:dyDescent="0.3">
      <c r="A40" t="s">
        <v>7</v>
      </c>
      <c r="B40" t="s">
        <v>14</v>
      </c>
      <c r="C40">
        <v>247106</v>
      </c>
      <c r="D40">
        <v>289994</v>
      </c>
      <c r="E40">
        <v>0.85209999999999997</v>
      </c>
    </row>
    <row r="41" spans="1:5" x14ac:dyDescent="0.3">
      <c r="A41" t="s">
        <v>7</v>
      </c>
      <c r="B41" t="s">
        <v>15</v>
      </c>
      <c r="C41">
        <v>32642</v>
      </c>
      <c r="D41">
        <v>46557</v>
      </c>
      <c r="E41">
        <v>0.70109999999999995</v>
      </c>
    </row>
    <row r="42" spans="1:5" x14ac:dyDescent="0.3">
      <c r="A42" t="s">
        <v>7</v>
      </c>
      <c r="B42" t="s">
        <v>16</v>
      </c>
      <c r="C42">
        <v>94998</v>
      </c>
      <c r="D42">
        <v>115318</v>
      </c>
      <c r="E42">
        <v>0.82379999999999998</v>
      </c>
    </row>
    <row r="43" spans="1:5" x14ac:dyDescent="0.3">
      <c r="A43" t="s">
        <v>7</v>
      </c>
      <c r="B43" t="s">
        <v>17</v>
      </c>
      <c r="C43">
        <v>19811</v>
      </c>
      <c r="D43">
        <v>26900</v>
      </c>
      <c r="E43">
        <v>0.73650000000000004</v>
      </c>
    </row>
    <row r="44" spans="1:5" x14ac:dyDescent="0.3">
      <c r="A44" t="s">
        <v>7</v>
      </c>
      <c r="B44" t="s">
        <v>18</v>
      </c>
      <c r="C44">
        <v>80664</v>
      </c>
      <c r="D44">
        <v>108276</v>
      </c>
      <c r="E44">
        <v>0.745</v>
      </c>
    </row>
    <row r="45" spans="1:5" x14ac:dyDescent="0.3">
      <c r="A45" t="s">
        <v>7</v>
      </c>
      <c r="B45" t="s">
        <v>19</v>
      </c>
      <c r="C45">
        <v>49662</v>
      </c>
      <c r="D45">
        <v>70791</v>
      </c>
      <c r="E45">
        <v>0.70150000000000001</v>
      </c>
    </row>
    <row r="46" spans="1:5" x14ac:dyDescent="0.3">
      <c r="A46" t="s">
        <v>7</v>
      </c>
      <c r="B46" t="s">
        <v>20</v>
      </c>
      <c r="C46">
        <v>51987</v>
      </c>
      <c r="D46">
        <v>74122</v>
      </c>
      <c r="E46">
        <v>0.70140000000000002</v>
      </c>
    </row>
    <row r="47" spans="1:5" x14ac:dyDescent="0.3">
      <c r="A47" t="s">
        <v>7</v>
      </c>
      <c r="B47" t="s">
        <v>21</v>
      </c>
      <c r="C47">
        <v>158595</v>
      </c>
      <c r="D47">
        <v>183549</v>
      </c>
      <c r="E47">
        <v>0.86399999999999999</v>
      </c>
    </row>
    <row r="48" spans="1:5" x14ac:dyDescent="0.3">
      <c r="A48" t="s">
        <v>7</v>
      </c>
      <c r="B48" t="s">
        <v>22</v>
      </c>
      <c r="C48">
        <v>94807</v>
      </c>
      <c r="D48">
        <v>124949</v>
      </c>
      <c r="E48">
        <v>0.75880000000000003</v>
      </c>
    </row>
    <row r="49" spans="1:5" x14ac:dyDescent="0.3">
      <c r="A49" t="s">
        <v>7</v>
      </c>
      <c r="B49" t="s">
        <v>23</v>
      </c>
      <c r="C49">
        <v>113918</v>
      </c>
      <c r="D49">
        <v>152727</v>
      </c>
      <c r="E49">
        <v>0.74590000000000001</v>
      </c>
    </row>
    <row r="50" spans="1:5" x14ac:dyDescent="0.3">
      <c r="A50" t="s">
        <v>8</v>
      </c>
      <c r="B50" t="s">
        <v>12</v>
      </c>
      <c r="C50">
        <v>75837</v>
      </c>
      <c r="D50">
        <v>89151</v>
      </c>
      <c r="E50">
        <v>0.85070000000000001</v>
      </c>
    </row>
    <row r="51" spans="1:5" x14ac:dyDescent="0.3">
      <c r="A51" t="s">
        <v>8</v>
      </c>
      <c r="B51" t="s">
        <v>13</v>
      </c>
      <c r="C51">
        <v>111300</v>
      </c>
      <c r="D51">
        <v>136384</v>
      </c>
      <c r="E51">
        <v>0.81610000000000005</v>
      </c>
    </row>
    <row r="52" spans="1:5" x14ac:dyDescent="0.3">
      <c r="A52" t="s">
        <v>8</v>
      </c>
      <c r="B52" t="s">
        <v>14</v>
      </c>
      <c r="C52">
        <v>260055</v>
      </c>
      <c r="D52">
        <v>291291</v>
      </c>
      <c r="E52">
        <v>0.89280000000000004</v>
      </c>
    </row>
    <row r="53" spans="1:5" x14ac:dyDescent="0.3">
      <c r="A53" t="s">
        <v>8</v>
      </c>
      <c r="B53" t="s">
        <v>15</v>
      </c>
      <c r="C53">
        <v>30596</v>
      </c>
      <c r="D53">
        <v>43541</v>
      </c>
      <c r="E53">
        <v>0.70269999999999999</v>
      </c>
    </row>
    <row r="54" spans="1:5" x14ac:dyDescent="0.3">
      <c r="A54" t="s">
        <v>8</v>
      </c>
      <c r="B54" t="s">
        <v>16</v>
      </c>
      <c r="C54">
        <v>94599</v>
      </c>
      <c r="D54">
        <v>110158</v>
      </c>
      <c r="E54">
        <v>0.85880000000000001</v>
      </c>
    </row>
    <row r="55" spans="1:5" x14ac:dyDescent="0.3">
      <c r="A55" t="s">
        <v>8</v>
      </c>
      <c r="B55" t="s">
        <v>17</v>
      </c>
      <c r="C55">
        <v>21519</v>
      </c>
      <c r="D55">
        <v>31777</v>
      </c>
      <c r="E55">
        <v>0.67720000000000002</v>
      </c>
    </row>
    <row r="56" spans="1:5" x14ac:dyDescent="0.3">
      <c r="A56" t="s">
        <v>8</v>
      </c>
      <c r="B56" t="s">
        <v>18</v>
      </c>
      <c r="C56">
        <v>79240</v>
      </c>
      <c r="D56">
        <v>100772</v>
      </c>
      <c r="E56">
        <v>0.7863</v>
      </c>
    </row>
    <row r="57" spans="1:5" x14ac:dyDescent="0.3">
      <c r="A57" t="s">
        <v>8</v>
      </c>
      <c r="B57" t="s">
        <v>19</v>
      </c>
      <c r="C57">
        <v>48062</v>
      </c>
      <c r="D57">
        <v>65842</v>
      </c>
      <c r="E57">
        <v>0.73</v>
      </c>
    </row>
    <row r="58" spans="1:5" x14ac:dyDescent="0.3">
      <c r="A58" t="s">
        <v>8</v>
      </c>
      <c r="B58" t="s">
        <v>20</v>
      </c>
      <c r="C58">
        <v>59312</v>
      </c>
      <c r="D58">
        <v>82991</v>
      </c>
      <c r="E58">
        <v>0.7147</v>
      </c>
    </row>
    <row r="59" spans="1:5" x14ac:dyDescent="0.3">
      <c r="A59" t="s">
        <v>8</v>
      </c>
      <c r="B59" t="s">
        <v>21</v>
      </c>
      <c r="C59">
        <v>170746</v>
      </c>
      <c r="D59">
        <v>192749</v>
      </c>
      <c r="E59">
        <v>0.88580000000000003</v>
      </c>
    </row>
    <row r="60" spans="1:5" x14ac:dyDescent="0.3">
      <c r="A60" t="s">
        <v>8</v>
      </c>
      <c r="B60" t="s">
        <v>22</v>
      </c>
      <c r="C60">
        <v>104318</v>
      </c>
      <c r="D60">
        <v>130207</v>
      </c>
      <c r="E60">
        <v>0.80120000000000002</v>
      </c>
    </row>
    <row r="61" spans="1:5" x14ac:dyDescent="0.3">
      <c r="A61" t="s">
        <v>8</v>
      </c>
      <c r="B61" t="s">
        <v>23</v>
      </c>
      <c r="C61">
        <v>127070</v>
      </c>
      <c r="D61">
        <v>159771</v>
      </c>
      <c r="E61">
        <v>0.79530000000000001</v>
      </c>
    </row>
    <row r="62" spans="1:5" x14ac:dyDescent="0.3">
      <c r="A62" t="s">
        <v>9</v>
      </c>
      <c r="B62" t="s">
        <v>12</v>
      </c>
      <c r="C62">
        <v>70141</v>
      </c>
      <c r="D62">
        <v>71257</v>
      </c>
      <c r="E62">
        <v>0.98429999999999995</v>
      </c>
    </row>
    <row r="63" spans="1:5" x14ac:dyDescent="0.3">
      <c r="A63" t="s">
        <v>9</v>
      </c>
      <c r="B63" t="s">
        <v>13</v>
      </c>
      <c r="C63">
        <v>87628</v>
      </c>
      <c r="D63">
        <v>92016</v>
      </c>
      <c r="E63">
        <v>0.95230000000000004</v>
      </c>
    </row>
    <row r="64" spans="1:5" x14ac:dyDescent="0.3">
      <c r="A64" t="s">
        <v>9</v>
      </c>
      <c r="B64" t="s">
        <v>14</v>
      </c>
      <c r="C64">
        <v>232134</v>
      </c>
      <c r="D64">
        <v>232372</v>
      </c>
      <c r="E64">
        <v>0.999</v>
      </c>
    </row>
    <row r="65" spans="1:5" x14ac:dyDescent="0.3">
      <c r="A65" t="s">
        <v>9</v>
      </c>
      <c r="B65" t="s">
        <v>15</v>
      </c>
      <c r="C65">
        <v>33662</v>
      </c>
      <c r="D65">
        <v>35610</v>
      </c>
      <c r="E65">
        <v>0.94530000000000003</v>
      </c>
    </row>
    <row r="66" spans="1:5" x14ac:dyDescent="0.3">
      <c r="A66" t="s">
        <v>9</v>
      </c>
      <c r="B66" t="s">
        <v>16</v>
      </c>
      <c r="C66">
        <v>89377</v>
      </c>
      <c r="D66">
        <v>91295</v>
      </c>
      <c r="E66">
        <v>0.97899999999999998</v>
      </c>
    </row>
    <row r="67" spans="1:5" x14ac:dyDescent="0.3">
      <c r="A67" t="s">
        <v>9</v>
      </c>
      <c r="B67" t="s">
        <v>17</v>
      </c>
      <c r="C67">
        <v>18451</v>
      </c>
      <c r="D67">
        <v>18971</v>
      </c>
      <c r="E67">
        <v>0.97260000000000002</v>
      </c>
    </row>
    <row r="68" spans="1:5" x14ac:dyDescent="0.3">
      <c r="A68" t="s">
        <v>9</v>
      </c>
      <c r="B68" t="s">
        <v>18</v>
      </c>
      <c r="C68">
        <v>79710</v>
      </c>
      <c r="D68">
        <v>84462</v>
      </c>
      <c r="E68">
        <v>0.94369999999999998</v>
      </c>
    </row>
    <row r="69" spans="1:5" x14ac:dyDescent="0.3">
      <c r="A69" t="s">
        <v>9</v>
      </c>
      <c r="B69" t="s">
        <v>19</v>
      </c>
      <c r="C69">
        <v>48502</v>
      </c>
      <c r="D69">
        <v>55331</v>
      </c>
      <c r="E69">
        <v>0.87660000000000005</v>
      </c>
    </row>
    <row r="70" spans="1:5" x14ac:dyDescent="0.3">
      <c r="A70" t="s">
        <v>9</v>
      </c>
      <c r="B70" t="s">
        <v>20</v>
      </c>
      <c r="C70">
        <v>58369</v>
      </c>
      <c r="D70">
        <v>59831</v>
      </c>
      <c r="E70">
        <v>0.97560000000000002</v>
      </c>
    </row>
    <row r="71" spans="1:5" x14ac:dyDescent="0.3">
      <c r="A71" t="s">
        <v>9</v>
      </c>
      <c r="B71" t="s">
        <v>21</v>
      </c>
      <c r="C71">
        <v>146544</v>
      </c>
      <c r="D71">
        <v>146699</v>
      </c>
      <c r="E71">
        <v>0.99890000000000001</v>
      </c>
    </row>
    <row r="72" spans="1:5" x14ac:dyDescent="0.3">
      <c r="A72" t="s">
        <v>9</v>
      </c>
      <c r="B72" t="s">
        <v>22</v>
      </c>
      <c r="C72">
        <v>96116</v>
      </c>
      <c r="D72">
        <v>98762</v>
      </c>
      <c r="E72">
        <v>0.97319999999999995</v>
      </c>
    </row>
    <row r="73" spans="1:5" x14ac:dyDescent="0.3">
      <c r="A73" t="s">
        <v>9</v>
      </c>
      <c r="B73" t="s">
        <v>23</v>
      </c>
      <c r="C73">
        <v>120089</v>
      </c>
      <c r="D73">
        <v>120992</v>
      </c>
      <c r="E73">
        <v>0.99250000000000005</v>
      </c>
    </row>
    <row r="74" spans="1:5" x14ac:dyDescent="0.3">
      <c r="A74" t="s">
        <v>10</v>
      </c>
      <c r="B74" t="s">
        <v>12</v>
      </c>
      <c r="C74">
        <v>69778</v>
      </c>
      <c r="D74">
        <v>70763</v>
      </c>
      <c r="E74">
        <v>0.98609999999999998</v>
      </c>
    </row>
    <row r="75" spans="1:5" x14ac:dyDescent="0.3">
      <c r="A75" t="s">
        <v>10</v>
      </c>
      <c r="B75" t="s">
        <v>13</v>
      </c>
      <c r="C75">
        <v>83383</v>
      </c>
      <c r="D75">
        <v>87144</v>
      </c>
      <c r="E75">
        <v>0.95679999999999998</v>
      </c>
    </row>
    <row r="76" spans="1:5" x14ac:dyDescent="0.3">
      <c r="A76" t="s">
        <v>10</v>
      </c>
      <c r="B76" t="s">
        <v>14</v>
      </c>
      <c r="C76">
        <v>234309</v>
      </c>
      <c r="D76">
        <v>234481</v>
      </c>
      <c r="E76">
        <v>0.99929999999999997</v>
      </c>
    </row>
    <row r="77" spans="1:5" x14ac:dyDescent="0.3">
      <c r="A77" t="s">
        <v>10</v>
      </c>
      <c r="B77" t="s">
        <v>15</v>
      </c>
      <c r="C77">
        <v>33064</v>
      </c>
      <c r="D77">
        <v>34152</v>
      </c>
      <c r="E77">
        <v>0.96809999999999996</v>
      </c>
    </row>
    <row r="78" spans="1:5" x14ac:dyDescent="0.3">
      <c r="A78" t="s">
        <v>10</v>
      </c>
      <c r="B78" t="s">
        <v>16</v>
      </c>
      <c r="C78">
        <v>86002</v>
      </c>
      <c r="D78">
        <v>88175</v>
      </c>
      <c r="E78">
        <v>0.97540000000000004</v>
      </c>
    </row>
    <row r="79" spans="1:5" x14ac:dyDescent="0.3">
      <c r="A79" t="s">
        <v>10</v>
      </c>
      <c r="B79" t="s">
        <v>17</v>
      </c>
      <c r="C79">
        <v>18108</v>
      </c>
      <c r="D79">
        <v>18909</v>
      </c>
      <c r="E79">
        <v>0.95760000000000001</v>
      </c>
    </row>
    <row r="80" spans="1:5" x14ac:dyDescent="0.3">
      <c r="A80" t="s">
        <v>10</v>
      </c>
      <c r="B80" t="s">
        <v>18</v>
      </c>
      <c r="C80">
        <v>77608</v>
      </c>
      <c r="D80">
        <v>82033</v>
      </c>
      <c r="E80">
        <v>0.94610000000000005</v>
      </c>
    </row>
    <row r="81" spans="1:5" x14ac:dyDescent="0.3">
      <c r="A81" t="s">
        <v>10</v>
      </c>
      <c r="B81" t="s">
        <v>19</v>
      </c>
      <c r="C81">
        <v>47610</v>
      </c>
      <c r="D81">
        <v>53656</v>
      </c>
      <c r="E81">
        <v>0.88729999999999998</v>
      </c>
    </row>
    <row r="82" spans="1:5" x14ac:dyDescent="0.3">
      <c r="A82" t="s">
        <v>10</v>
      </c>
      <c r="B82" t="s">
        <v>20</v>
      </c>
      <c r="C82">
        <v>57289</v>
      </c>
      <c r="D82">
        <v>58311</v>
      </c>
      <c r="E82">
        <v>0.98250000000000004</v>
      </c>
    </row>
    <row r="83" spans="1:5" x14ac:dyDescent="0.3">
      <c r="A83" t="s">
        <v>10</v>
      </c>
      <c r="B83" t="s">
        <v>21</v>
      </c>
      <c r="C83">
        <v>146922</v>
      </c>
      <c r="D83">
        <v>147013</v>
      </c>
      <c r="E83">
        <v>0.99939999999999996</v>
      </c>
    </row>
    <row r="84" spans="1:5" x14ac:dyDescent="0.3">
      <c r="A84" t="s">
        <v>10</v>
      </c>
      <c r="B84" t="s">
        <v>22</v>
      </c>
      <c r="C84">
        <v>95548</v>
      </c>
      <c r="D84">
        <v>98401</v>
      </c>
      <c r="E84">
        <v>0.97099999999999997</v>
      </c>
    </row>
    <row r="85" spans="1:5" x14ac:dyDescent="0.3">
      <c r="A85" t="s">
        <v>10</v>
      </c>
      <c r="B85" t="s">
        <v>23</v>
      </c>
      <c r="C85">
        <v>118688</v>
      </c>
      <c r="D85">
        <v>120926</v>
      </c>
      <c r="E85">
        <v>0.98150000000000004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24</v>
      </c>
      <c r="C1" s="1" t="s">
        <v>25</v>
      </c>
    </row>
    <row r="2" spans="1:3" x14ac:dyDescent="0.3">
      <c r="A2" t="s">
        <v>4</v>
      </c>
      <c r="B2">
        <v>15196613.73</v>
      </c>
      <c r="C2" t="s">
        <v>26</v>
      </c>
    </row>
    <row r="3" spans="1:3" x14ac:dyDescent="0.3">
      <c r="A3" t="s">
        <v>5</v>
      </c>
      <c r="B3">
        <v>15353773.210000001</v>
      </c>
      <c r="C3" t="s">
        <v>27</v>
      </c>
    </row>
    <row r="4" spans="1:3" x14ac:dyDescent="0.3">
      <c r="A4" t="s">
        <v>6</v>
      </c>
      <c r="B4">
        <v>9112826.8000000007</v>
      </c>
      <c r="C4" t="s">
        <v>28</v>
      </c>
    </row>
    <row r="5" spans="1:3" x14ac:dyDescent="0.3">
      <c r="A5" t="s">
        <v>7</v>
      </c>
      <c r="B5">
        <v>8577858.2699999996</v>
      </c>
      <c r="C5" t="s">
        <v>29</v>
      </c>
    </row>
    <row r="6" spans="1:3" x14ac:dyDescent="0.3">
      <c r="A6" t="s">
        <v>8</v>
      </c>
      <c r="B6">
        <v>9858713.0899999999</v>
      </c>
      <c r="C6" t="s">
        <v>30</v>
      </c>
    </row>
    <row r="7" spans="1:3" x14ac:dyDescent="0.3">
      <c r="A7" t="s">
        <v>9</v>
      </c>
      <c r="B7">
        <v>9859982.1600000001</v>
      </c>
      <c r="C7" t="s">
        <v>31</v>
      </c>
    </row>
    <row r="8" spans="1:3" x14ac:dyDescent="0.3">
      <c r="A8" t="s">
        <v>10</v>
      </c>
      <c r="B8">
        <v>10055859.65</v>
      </c>
      <c r="C8" t="s">
        <v>32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F85"/>
  <sheetViews>
    <sheetView tabSelected="1" workbookViewId="0">
      <selection activeCell="J57" sqref="J57"/>
    </sheetView>
  </sheetViews>
  <sheetFormatPr defaultRowHeight="14.4" x14ac:dyDescent="0.3"/>
  <cols>
    <col min="1" max="1" width="7.6640625" bestFit="1" customWidth="1"/>
    <col min="2" max="2" width="10.44140625" customWidth="1"/>
    <col min="3" max="3" width="16" customWidth="1"/>
    <col min="4" max="4" width="10.33203125" bestFit="1" customWidth="1"/>
  </cols>
  <sheetData>
    <row r="1" spans="1:4" x14ac:dyDescent="0.3">
      <c r="A1" s="1" t="s">
        <v>0</v>
      </c>
      <c r="B1" s="1" t="s">
        <v>33</v>
      </c>
      <c r="C1" s="1" t="s">
        <v>24</v>
      </c>
      <c r="D1" s="1" t="s">
        <v>25</v>
      </c>
    </row>
    <row r="2" spans="1:4" hidden="1" x14ac:dyDescent="0.3">
      <c r="A2" t="s">
        <v>4</v>
      </c>
      <c r="B2" t="s">
        <v>12</v>
      </c>
      <c r="C2">
        <v>741336.03</v>
      </c>
      <c r="D2" t="s">
        <v>34</v>
      </c>
    </row>
    <row r="3" spans="1:4" hidden="1" x14ac:dyDescent="0.3">
      <c r="A3" t="s">
        <v>4</v>
      </c>
      <c r="B3" t="s">
        <v>13</v>
      </c>
      <c r="C3">
        <v>1406369.14</v>
      </c>
      <c r="D3" t="s">
        <v>34</v>
      </c>
    </row>
    <row r="4" spans="1:4" hidden="1" x14ac:dyDescent="0.3">
      <c r="A4" t="s">
        <v>4</v>
      </c>
      <c r="B4" t="s">
        <v>14</v>
      </c>
      <c r="C4">
        <v>2116555.69</v>
      </c>
      <c r="D4" t="s">
        <v>34</v>
      </c>
    </row>
    <row r="5" spans="1:4" hidden="1" x14ac:dyDescent="0.3">
      <c r="A5" t="s">
        <v>4</v>
      </c>
      <c r="B5" t="s">
        <v>15</v>
      </c>
      <c r="C5">
        <v>289563.48</v>
      </c>
      <c r="D5" t="s">
        <v>34</v>
      </c>
    </row>
    <row r="6" spans="1:4" hidden="1" x14ac:dyDescent="0.3">
      <c r="A6" t="s">
        <v>4</v>
      </c>
      <c r="B6" t="s">
        <v>16</v>
      </c>
      <c r="C6">
        <v>2576536.7400000002</v>
      </c>
      <c r="D6" t="s">
        <v>26</v>
      </c>
    </row>
    <row r="7" spans="1:4" hidden="1" x14ac:dyDescent="0.3">
      <c r="A7" t="s">
        <v>4</v>
      </c>
      <c r="B7" t="s">
        <v>17</v>
      </c>
      <c r="C7">
        <v>498888.61</v>
      </c>
      <c r="D7" t="s">
        <v>34</v>
      </c>
    </row>
    <row r="8" spans="1:4" hidden="1" x14ac:dyDescent="0.3">
      <c r="A8" t="s">
        <v>4</v>
      </c>
      <c r="B8" t="s">
        <v>18</v>
      </c>
      <c r="C8">
        <v>1369908.05</v>
      </c>
      <c r="D8" t="s">
        <v>34</v>
      </c>
    </row>
    <row r="9" spans="1:4" hidden="1" x14ac:dyDescent="0.3">
      <c r="A9" t="s">
        <v>4</v>
      </c>
      <c r="B9" t="s">
        <v>19</v>
      </c>
      <c r="C9">
        <v>1353936.98</v>
      </c>
      <c r="D9" t="s">
        <v>26</v>
      </c>
    </row>
    <row r="10" spans="1:4" hidden="1" x14ac:dyDescent="0.3">
      <c r="A10" t="s">
        <v>4</v>
      </c>
      <c r="B10" t="s">
        <v>20</v>
      </c>
      <c r="C10">
        <v>1189058.55</v>
      </c>
      <c r="D10" t="s">
        <v>34</v>
      </c>
    </row>
    <row r="11" spans="1:4" hidden="1" x14ac:dyDescent="0.3">
      <c r="A11" t="s">
        <v>4</v>
      </c>
      <c r="B11" t="s">
        <v>21</v>
      </c>
      <c r="C11">
        <v>1653297.79</v>
      </c>
      <c r="D11" t="s">
        <v>34</v>
      </c>
    </row>
    <row r="12" spans="1:4" hidden="1" x14ac:dyDescent="0.3">
      <c r="A12" t="s">
        <v>4</v>
      </c>
      <c r="B12" t="s">
        <v>22</v>
      </c>
      <c r="C12">
        <v>982693.2</v>
      </c>
      <c r="D12" t="s">
        <v>34</v>
      </c>
    </row>
    <row r="13" spans="1:4" hidden="1" x14ac:dyDescent="0.3">
      <c r="A13" t="s">
        <v>4</v>
      </c>
      <c r="B13" t="s">
        <v>23</v>
      </c>
      <c r="C13">
        <v>1565315.52</v>
      </c>
      <c r="D13" t="s">
        <v>34</v>
      </c>
    </row>
    <row r="14" spans="1:4" hidden="1" x14ac:dyDescent="0.3">
      <c r="A14" t="s">
        <v>5</v>
      </c>
      <c r="B14" t="s">
        <v>12</v>
      </c>
      <c r="C14">
        <v>776674.72</v>
      </c>
      <c r="D14" t="s">
        <v>35</v>
      </c>
    </row>
    <row r="15" spans="1:4" hidden="1" x14ac:dyDescent="0.3">
      <c r="A15" t="s">
        <v>5</v>
      </c>
      <c r="B15" t="s">
        <v>13</v>
      </c>
      <c r="C15">
        <v>1374557.92</v>
      </c>
      <c r="D15" t="s">
        <v>36</v>
      </c>
    </row>
    <row r="16" spans="1:4" hidden="1" x14ac:dyDescent="0.3">
      <c r="A16" t="s">
        <v>5</v>
      </c>
      <c r="B16" t="s">
        <v>14</v>
      </c>
      <c r="C16">
        <v>1958932.61</v>
      </c>
      <c r="D16" t="s">
        <v>27</v>
      </c>
    </row>
    <row r="17" spans="1:4" hidden="1" x14ac:dyDescent="0.3">
      <c r="A17" t="s">
        <v>5</v>
      </c>
      <c r="B17" t="s">
        <v>15</v>
      </c>
      <c r="C17">
        <v>542771.01</v>
      </c>
      <c r="D17" t="s">
        <v>37</v>
      </c>
    </row>
    <row r="18" spans="1:4" hidden="1" x14ac:dyDescent="0.3">
      <c r="A18" t="s">
        <v>5</v>
      </c>
      <c r="B18" t="s">
        <v>16</v>
      </c>
      <c r="C18">
        <v>2670599.8199999998</v>
      </c>
      <c r="D18" t="s">
        <v>36</v>
      </c>
    </row>
    <row r="19" spans="1:4" hidden="1" x14ac:dyDescent="0.3">
      <c r="A19" t="s">
        <v>5</v>
      </c>
      <c r="B19" t="s">
        <v>17</v>
      </c>
      <c r="C19">
        <v>475587.69</v>
      </c>
      <c r="D19" t="s">
        <v>36</v>
      </c>
    </row>
    <row r="20" spans="1:4" hidden="1" x14ac:dyDescent="0.3">
      <c r="A20" t="s">
        <v>5</v>
      </c>
      <c r="B20" t="s">
        <v>18</v>
      </c>
      <c r="C20">
        <v>1509912.76</v>
      </c>
      <c r="D20" t="s">
        <v>36</v>
      </c>
    </row>
    <row r="21" spans="1:4" hidden="1" x14ac:dyDescent="0.3">
      <c r="A21" t="s">
        <v>5</v>
      </c>
      <c r="B21" t="s">
        <v>19</v>
      </c>
      <c r="C21">
        <v>1322014.43</v>
      </c>
      <c r="D21" t="s">
        <v>36</v>
      </c>
    </row>
    <row r="22" spans="1:4" hidden="1" x14ac:dyDescent="0.3">
      <c r="A22" t="s">
        <v>5</v>
      </c>
      <c r="B22" t="s">
        <v>20</v>
      </c>
      <c r="C22">
        <v>1126213.51</v>
      </c>
      <c r="D22" t="s">
        <v>36</v>
      </c>
    </row>
    <row r="23" spans="1:4" hidden="1" x14ac:dyDescent="0.3">
      <c r="A23" t="s">
        <v>5</v>
      </c>
      <c r="B23" t="s">
        <v>21</v>
      </c>
      <c r="C23">
        <v>1810707.6</v>
      </c>
      <c r="D23" t="s">
        <v>38</v>
      </c>
    </row>
    <row r="24" spans="1:4" hidden="1" x14ac:dyDescent="0.3">
      <c r="A24" t="s">
        <v>5</v>
      </c>
      <c r="B24" t="s">
        <v>22</v>
      </c>
      <c r="C24">
        <v>1102487.6299999999</v>
      </c>
      <c r="D24" t="s">
        <v>38</v>
      </c>
    </row>
    <row r="25" spans="1:4" hidden="1" x14ac:dyDescent="0.3">
      <c r="A25" t="s">
        <v>5</v>
      </c>
      <c r="B25" t="s">
        <v>23</v>
      </c>
      <c r="C25">
        <v>1552003.48</v>
      </c>
      <c r="D25" t="s">
        <v>38</v>
      </c>
    </row>
    <row r="26" spans="1:4" hidden="1" x14ac:dyDescent="0.3">
      <c r="A26" t="s">
        <v>6</v>
      </c>
      <c r="B26" t="s">
        <v>12</v>
      </c>
      <c r="C26">
        <v>759196.25</v>
      </c>
      <c r="D26" t="s">
        <v>39</v>
      </c>
    </row>
    <row r="27" spans="1:4" hidden="1" x14ac:dyDescent="0.3">
      <c r="A27" t="s">
        <v>6</v>
      </c>
      <c r="B27" t="s">
        <v>13</v>
      </c>
      <c r="C27">
        <v>755396.22</v>
      </c>
      <c r="D27" t="s">
        <v>40</v>
      </c>
    </row>
    <row r="28" spans="1:4" hidden="1" x14ac:dyDescent="0.3">
      <c r="A28" t="s">
        <v>6</v>
      </c>
      <c r="B28" t="s">
        <v>14</v>
      </c>
      <c r="C28">
        <v>1033399.84</v>
      </c>
      <c r="D28" t="s">
        <v>28</v>
      </c>
    </row>
    <row r="29" spans="1:4" hidden="1" x14ac:dyDescent="0.3">
      <c r="A29" t="s">
        <v>6</v>
      </c>
      <c r="B29" t="s">
        <v>15</v>
      </c>
      <c r="C29">
        <v>518619.35</v>
      </c>
      <c r="D29" t="s">
        <v>41</v>
      </c>
    </row>
    <row r="30" spans="1:4" hidden="1" x14ac:dyDescent="0.3">
      <c r="A30" t="s">
        <v>6</v>
      </c>
      <c r="B30" t="s">
        <v>16</v>
      </c>
      <c r="C30">
        <v>1466636.98</v>
      </c>
      <c r="D30" t="s">
        <v>28</v>
      </c>
    </row>
    <row r="31" spans="1:4" hidden="1" x14ac:dyDescent="0.3">
      <c r="A31" t="s">
        <v>6</v>
      </c>
      <c r="B31" t="s">
        <v>17</v>
      </c>
      <c r="C31">
        <v>195849.58</v>
      </c>
      <c r="D31" t="s">
        <v>42</v>
      </c>
    </row>
    <row r="32" spans="1:4" hidden="1" x14ac:dyDescent="0.3">
      <c r="A32" t="s">
        <v>6</v>
      </c>
      <c r="B32" t="s">
        <v>18</v>
      </c>
      <c r="C32">
        <v>824340.36</v>
      </c>
      <c r="D32" t="s">
        <v>43</v>
      </c>
    </row>
    <row r="33" spans="1:4" hidden="1" x14ac:dyDescent="0.3">
      <c r="A33" t="s">
        <v>6</v>
      </c>
      <c r="B33" t="s">
        <v>19</v>
      </c>
      <c r="C33">
        <v>541239.6</v>
      </c>
      <c r="D33" t="s">
        <v>44</v>
      </c>
    </row>
    <row r="34" spans="1:4" hidden="1" x14ac:dyDescent="0.3">
      <c r="A34" t="s">
        <v>6</v>
      </c>
      <c r="B34" t="s">
        <v>20</v>
      </c>
      <c r="C34">
        <v>348492.93</v>
      </c>
      <c r="D34" t="s">
        <v>45</v>
      </c>
    </row>
    <row r="35" spans="1:4" hidden="1" x14ac:dyDescent="0.3">
      <c r="A35" t="s">
        <v>6</v>
      </c>
      <c r="B35" t="s">
        <v>21</v>
      </c>
      <c r="C35">
        <v>1172147.3799999999</v>
      </c>
      <c r="D35" t="s">
        <v>28</v>
      </c>
    </row>
    <row r="36" spans="1:4" hidden="1" x14ac:dyDescent="0.3">
      <c r="A36" t="s">
        <v>6</v>
      </c>
      <c r="B36" t="s">
        <v>22</v>
      </c>
      <c r="C36">
        <v>781348.23</v>
      </c>
      <c r="D36" t="s">
        <v>28</v>
      </c>
    </row>
    <row r="37" spans="1:4" hidden="1" x14ac:dyDescent="0.3">
      <c r="A37" t="s">
        <v>6</v>
      </c>
      <c r="B37" t="s">
        <v>23</v>
      </c>
      <c r="C37">
        <v>902120.2</v>
      </c>
      <c r="D37" t="s">
        <v>46</v>
      </c>
    </row>
    <row r="38" spans="1:4" hidden="1" x14ac:dyDescent="0.3">
      <c r="A38" t="s">
        <v>7</v>
      </c>
      <c r="B38" t="s">
        <v>12</v>
      </c>
      <c r="C38">
        <v>740877.1</v>
      </c>
      <c r="D38" t="s">
        <v>47</v>
      </c>
    </row>
    <row r="39" spans="1:4" hidden="1" x14ac:dyDescent="0.3">
      <c r="A39" t="s">
        <v>7</v>
      </c>
      <c r="B39" t="s">
        <v>13</v>
      </c>
      <c r="C39">
        <v>789630.89</v>
      </c>
      <c r="D39" t="s">
        <v>48</v>
      </c>
    </row>
    <row r="40" spans="1:4" hidden="1" x14ac:dyDescent="0.3">
      <c r="A40" t="s">
        <v>7</v>
      </c>
      <c r="B40" t="s">
        <v>14</v>
      </c>
      <c r="C40">
        <v>1060275.58</v>
      </c>
      <c r="D40" t="s">
        <v>49</v>
      </c>
    </row>
    <row r="41" spans="1:4" hidden="1" x14ac:dyDescent="0.3">
      <c r="A41" t="s">
        <v>7</v>
      </c>
      <c r="B41" t="s">
        <v>15</v>
      </c>
      <c r="C41">
        <v>492545.94</v>
      </c>
      <c r="D41" t="s">
        <v>47</v>
      </c>
    </row>
    <row r="42" spans="1:4" hidden="1" x14ac:dyDescent="0.3">
      <c r="A42" t="s">
        <v>7</v>
      </c>
      <c r="B42" t="s">
        <v>16</v>
      </c>
      <c r="C42">
        <v>1428668.44</v>
      </c>
      <c r="D42" t="s">
        <v>47</v>
      </c>
    </row>
    <row r="43" spans="1:4" hidden="1" x14ac:dyDescent="0.3">
      <c r="A43" t="s">
        <v>7</v>
      </c>
      <c r="B43" t="s">
        <v>17</v>
      </c>
      <c r="C43">
        <v>195606.06</v>
      </c>
      <c r="D43" t="s">
        <v>29</v>
      </c>
    </row>
    <row r="44" spans="1:4" hidden="1" x14ac:dyDescent="0.3">
      <c r="A44" t="s">
        <v>7</v>
      </c>
      <c r="B44" t="s">
        <v>18</v>
      </c>
      <c r="C44">
        <v>745796.94</v>
      </c>
      <c r="D44" t="s">
        <v>50</v>
      </c>
    </row>
    <row r="45" spans="1:4" hidden="1" x14ac:dyDescent="0.3">
      <c r="A45" t="s">
        <v>7</v>
      </c>
      <c r="B45" t="s">
        <v>19</v>
      </c>
      <c r="C45">
        <v>513539.99</v>
      </c>
      <c r="D45" t="s">
        <v>51</v>
      </c>
    </row>
    <row r="46" spans="1:4" hidden="1" x14ac:dyDescent="0.3">
      <c r="A46" t="s">
        <v>7</v>
      </c>
      <c r="B46" t="s">
        <v>20</v>
      </c>
      <c r="C46">
        <v>373271.31</v>
      </c>
      <c r="D46" t="s">
        <v>52</v>
      </c>
    </row>
    <row r="47" spans="1:4" hidden="1" x14ac:dyDescent="0.3">
      <c r="A47" t="s">
        <v>7</v>
      </c>
      <c r="B47" t="s">
        <v>21</v>
      </c>
      <c r="C47">
        <v>1092360.6499999999</v>
      </c>
      <c r="D47" t="s">
        <v>53</v>
      </c>
    </row>
    <row r="48" spans="1:4" hidden="1" x14ac:dyDescent="0.3">
      <c r="A48" t="s">
        <v>7</v>
      </c>
      <c r="B48" t="s">
        <v>22</v>
      </c>
      <c r="C48">
        <v>720863</v>
      </c>
      <c r="D48" t="s">
        <v>50</v>
      </c>
    </row>
    <row r="49" spans="1:6" hidden="1" x14ac:dyDescent="0.3">
      <c r="A49" t="s">
        <v>7</v>
      </c>
      <c r="B49" t="s">
        <v>23</v>
      </c>
      <c r="C49">
        <v>860621.51</v>
      </c>
      <c r="D49" t="s">
        <v>29</v>
      </c>
    </row>
    <row r="50" spans="1:6" x14ac:dyDescent="0.3">
      <c r="A50" t="s">
        <v>8</v>
      </c>
      <c r="B50" t="s">
        <v>12</v>
      </c>
      <c r="C50">
        <v>925499.15</v>
      </c>
      <c r="D50" t="s">
        <v>54</v>
      </c>
      <c r="E50" s="2">
        <f>C50/1000</f>
        <v>925.49914999999999</v>
      </c>
      <c r="F50" t="s">
        <v>104</v>
      </c>
    </row>
    <row r="51" spans="1:6" x14ac:dyDescent="0.3">
      <c r="A51" t="s">
        <v>8</v>
      </c>
      <c r="B51" t="s">
        <v>13</v>
      </c>
      <c r="C51">
        <v>883739.13</v>
      </c>
      <c r="D51" t="s">
        <v>55</v>
      </c>
      <c r="E51" s="2">
        <f t="shared" ref="E51:E61" si="0">C51/1000</f>
        <v>883.73913000000005</v>
      </c>
      <c r="F51" t="s">
        <v>103</v>
      </c>
    </row>
    <row r="52" spans="1:6" x14ac:dyDescent="0.3">
      <c r="A52" t="s">
        <v>8</v>
      </c>
      <c r="B52" t="s">
        <v>14</v>
      </c>
      <c r="C52">
        <v>1270910.29</v>
      </c>
      <c r="D52" t="s">
        <v>56</v>
      </c>
      <c r="E52" s="2">
        <f t="shared" si="0"/>
        <v>1270.91029</v>
      </c>
      <c r="F52" t="s">
        <v>105</v>
      </c>
    </row>
    <row r="53" spans="1:6" x14ac:dyDescent="0.3">
      <c r="A53" t="s">
        <v>8</v>
      </c>
      <c r="B53" t="s">
        <v>15</v>
      </c>
      <c r="C53">
        <v>575883.62</v>
      </c>
      <c r="D53" t="s">
        <v>57</v>
      </c>
      <c r="E53" s="2">
        <f t="shared" si="0"/>
        <v>575.88361999999995</v>
      </c>
      <c r="F53" t="s">
        <v>106</v>
      </c>
    </row>
    <row r="54" spans="1:6" x14ac:dyDescent="0.3">
      <c r="A54" t="s">
        <v>8</v>
      </c>
      <c r="B54" t="s">
        <v>16</v>
      </c>
      <c r="C54">
        <v>1410563.8</v>
      </c>
      <c r="D54" t="s">
        <v>55</v>
      </c>
      <c r="E54" s="2">
        <f t="shared" si="0"/>
        <v>1410.5638000000001</v>
      </c>
      <c r="F54" t="s">
        <v>107</v>
      </c>
    </row>
    <row r="55" spans="1:6" x14ac:dyDescent="0.3">
      <c r="A55" t="s">
        <v>8</v>
      </c>
      <c r="B55" t="s">
        <v>17</v>
      </c>
      <c r="C55">
        <v>269691.77</v>
      </c>
      <c r="D55" t="s">
        <v>58</v>
      </c>
      <c r="E55" s="2">
        <f t="shared" si="0"/>
        <v>269.69177000000002</v>
      </c>
      <c r="F55" t="s">
        <v>108</v>
      </c>
    </row>
    <row r="56" spans="1:6" x14ac:dyDescent="0.3">
      <c r="A56" t="s">
        <v>8</v>
      </c>
      <c r="B56" t="s">
        <v>18</v>
      </c>
      <c r="C56">
        <v>763187.54</v>
      </c>
      <c r="D56" t="s">
        <v>54</v>
      </c>
      <c r="E56" s="2">
        <f t="shared" si="0"/>
        <v>763.18754000000001</v>
      </c>
      <c r="F56" t="s">
        <v>109</v>
      </c>
    </row>
    <row r="57" spans="1:6" x14ac:dyDescent="0.3">
      <c r="A57" t="s">
        <v>8</v>
      </c>
      <c r="B57" t="s">
        <v>19</v>
      </c>
      <c r="C57">
        <v>482216.16</v>
      </c>
      <c r="D57" t="s">
        <v>59</v>
      </c>
      <c r="E57" s="2">
        <f t="shared" si="0"/>
        <v>482.21616</v>
      </c>
      <c r="F57" t="s">
        <v>111</v>
      </c>
    </row>
    <row r="58" spans="1:6" x14ac:dyDescent="0.3">
      <c r="A58" t="s">
        <v>8</v>
      </c>
      <c r="B58" t="s">
        <v>20</v>
      </c>
      <c r="C58">
        <v>681102.73</v>
      </c>
      <c r="D58" t="s">
        <v>30</v>
      </c>
      <c r="E58" s="2">
        <f t="shared" si="0"/>
        <v>681.10272999999995</v>
      </c>
      <c r="F58" t="s">
        <v>110</v>
      </c>
    </row>
    <row r="59" spans="1:6" x14ac:dyDescent="0.3">
      <c r="A59" t="s">
        <v>8</v>
      </c>
      <c r="B59" t="s">
        <v>21</v>
      </c>
      <c r="C59">
        <v>1367225.52</v>
      </c>
      <c r="D59" t="s">
        <v>56</v>
      </c>
      <c r="E59" s="2">
        <f t="shared" si="0"/>
        <v>1367.22552</v>
      </c>
      <c r="F59" t="s">
        <v>112</v>
      </c>
    </row>
    <row r="60" spans="1:6" x14ac:dyDescent="0.3">
      <c r="A60" t="s">
        <v>8</v>
      </c>
      <c r="B60" t="s">
        <v>22</v>
      </c>
      <c r="C60">
        <v>922812.73</v>
      </c>
      <c r="D60" t="s">
        <v>56</v>
      </c>
      <c r="E60" s="2">
        <f t="shared" si="0"/>
        <v>922.81272999999999</v>
      </c>
      <c r="F60" t="s">
        <v>113</v>
      </c>
    </row>
    <row r="61" spans="1:6" x14ac:dyDescent="0.3">
      <c r="A61" t="s">
        <v>8</v>
      </c>
      <c r="B61" t="s">
        <v>23</v>
      </c>
      <c r="C61">
        <v>1111002.92</v>
      </c>
      <c r="D61" t="s">
        <v>56</v>
      </c>
      <c r="E61" s="2">
        <f t="shared" si="0"/>
        <v>1111.0029199999999</v>
      </c>
      <c r="F61" t="s">
        <v>114</v>
      </c>
    </row>
    <row r="62" spans="1:6" hidden="1" x14ac:dyDescent="0.3">
      <c r="A62" t="s">
        <v>9</v>
      </c>
      <c r="B62" t="s">
        <v>12</v>
      </c>
      <c r="C62">
        <v>891413.36</v>
      </c>
      <c r="D62" t="s">
        <v>60</v>
      </c>
    </row>
    <row r="63" spans="1:6" hidden="1" x14ac:dyDescent="0.3">
      <c r="A63" t="s">
        <v>9</v>
      </c>
      <c r="B63" t="s">
        <v>13</v>
      </c>
      <c r="C63">
        <v>782742.63</v>
      </c>
      <c r="D63" t="s">
        <v>61</v>
      </c>
    </row>
    <row r="64" spans="1:6" hidden="1" x14ac:dyDescent="0.3">
      <c r="A64" t="s">
        <v>9</v>
      </c>
      <c r="B64" t="s">
        <v>14</v>
      </c>
      <c r="C64">
        <v>1170223.3</v>
      </c>
      <c r="D64" t="s">
        <v>62</v>
      </c>
    </row>
    <row r="65" spans="1:4" hidden="1" x14ac:dyDescent="0.3">
      <c r="A65" t="s">
        <v>9</v>
      </c>
      <c r="B65" t="s">
        <v>15</v>
      </c>
      <c r="C65">
        <v>656178.82999999996</v>
      </c>
      <c r="D65" t="s">
        <v>60</v>
      </c>
    </row>
    <row r="66" spans="1:4" hidden="1" x14ac:dyDescent="0.3">
      <c r="A66" t="s">
        <v>9</v>
      </c>
      <c r="B66" t="s">
        <v>16</v>
      </c>
      <c r="C66">
        <v>1330070.26</v>
      </c>
      <c r="D66" t="s">
        <v>63</v>
      </c>
    </row>
    <row r="67" spans="1:4" hidden="1" x14ac:dyDescent="0.3">
      <c r="A67" t="s">
        <v>9</v>
      </c>
      <c r="B67" t="s">
        <v>17</v>
      </c>
      <c r="C67">
        <v>314558.68</v>
      </c>
      <c r="D67" t="s">
        <v>31</v>
      </c>
    </row>
    <row r="68" spans="1:4" hidden="1" x14ac:dyDescent="0.3">
      <c r="A68" t="s">
        <v>9</v>
      </c>
      <c r="B68" t="s">
        <v>18</v>
      </c>
      <c r="C68">
        <v>818183.97</v>
      </c>
      <c r="D68" t="s">
        <v>61</v>
      </c>
    </row>
    <row r="69" spans="1:4" hidden="1" x14ac:dyDescent="0.3">
      <c r="A69" t="s">
        <v>9</v>
      </c>
      <c r="B69" t="s">
        <v>19</v>
      </c>
      <c r="C69">
        <v>556993.47</v>
      </c>
      <c r="D69" t="s">
        <v>64</v>
      </c>
    </row>
    <row r="70" spans="1:4" hidden="1" x14ac:dyDescent="0.3">
      <c r="A70" t="s">
        <v>9</v>
      </c>
      <c r="B70" t="s">
        <v>20</v>
      </c>
      <c r="C70">
        <v>611230.75</v>
      </c>
      <c r="D70" t="s">
        <v>62</v>
      </c>
    </row>
    <row r="71" spans="1:4" hidden="1" x14ac:dyDescent="0.3">
      <c r="A71" t="s">
        <v>9</v>
      </c>
      <c r="B71" t="s">
        <v>21</v>
      </c>
      <c r="C71">
        <v>1247617.52</v>
      </c>
      <c r="D71" t="s">
        <v>31</v>
      </c>
    </row>
    <row r="72" spans="1:4" hidden="1" x14ac:dyDescent="0.3">
      <c r="A72" t="s">
        <v>9</v>
      </c>
      <c r="B72" t="s">
        <v>22</v>
      </c>
      <c r="C72">
        <v>834670.07999999996</v>
      </c>
      <c r="D72" t="s">
        <v>31</v>
      </c>
    </row>
    <row r="73" spans="1:4" hidden="1" x14ac:dyDescent="0.3">
      <c r="A73" t="s">
        <v>9</v>
      </c>
      <c r="B73" t="s">
        <v>23</v>
      </c>
      <c r="C73">
        <v>996244.79</v>
      </c>
      <c r="D73" t="s">
        <v>62</v>
      </c>
    </row>
    <row r="74" spans="1:4" hidden="1" x14ac:dyDescent="0.3">
      <c r="A74" t="s">
        <v>10</v>
      </c>
      <c r="B74" t="s">
        <v>12</v>
      </c>
      <c r="C74">
        <v>932115.91</v>
      </c>
      <c r="D74" t="s">
        <v>32</v>
      </c>
    </row>
    <row r="75" spans="1:4" hidden="1" x14ac:dyDescent="0.3">
      <c r="A75" t="s">
        <v>10</v>
      </c>
      <c r="B75" t="s">
        <v>13</v>
      </c>
      <c r="C75">
        <v>757768.27</v>
      </c>
      <c r="D75" t="s">
        <v>65</v>
      </c>
    </row>
    <row r="76" spans="1:4" hidden="1" x14ac:dyDescent="0.3">
      <c r="A76" t="s">
        <v>10</v>
      </c>
      <c r="B76" t="s">
        <v>14</v>
      </c>
      <c r="C76">
        <v>1271055.6599999999</v>
      </c>
      <c r="D76" t="s">
        <v>66</v>
      </c>
    </row>
    <row r="77" spans="1:4" hidden="1" x14ac:dyDescent="0.3">
      <c r="A77" t="s">
        <v>10</v>
      </c>
      <c r="B77" t="s">
        <v>15</v>
      </c>
      <c r="C77">
        <v>642558.93999999994</v>
      </c>
      <c r="D77" t="s">
        <v>67</v>
      </c>
    </row>
    <row r="78" spans="1:4" hidden="1" x14ac:dyDescent="0.3">
      <c r="A78" t="s">
        <v>10</v>
      </c>
      <c r="B78" t="s">
        <v>16</v>
      </c>
      <c r="C78">
        <v>1384633.22</v>
      </c>
      <c r="D78" t="s">
        <v>68</v>
      </c>
    </row>
    <row r="79" spans="1:4" hidden="1" x14ac:dyDescent="0.3">
      <c r="A79" t="s">
        <v>10</v>
      </c>
      <c r="B79" t="s">
        <v>17</v>
      </c>
      <c r="C79">
        <v>287385.51</v>
      </c>
      <c r="D79" t="s">
        <v>69</v>
      </c>
    </row>
    <row r="80" spans="1:4" hidden="1" x14ac:dyDescent="0.3">
      <c r="A80" t="s">
        <v>10</v>
      </c>
      <c r="B80" t="s">
        <v>18</v>
      </c>
      <c r="C80">
        <v>817757.48</v>
      </c>
      <c r="D80" t="s">
        <v>69</v>
      </c>
    </row>
    <row r="81" spans="1:4" hidden="1" x14ac:dyDescent="0.3">
      <c r="A81" t="s">
        <v>10</v>
      </c>
      <c r="B81" t="s">
        <v>19</v>
      </c>
      <c r="C81">
        <v>554192.6</v>
      </c>
      <c r="D81" t="s">
        <v>70</v>
      </c>
    </row>
    <row r="82" spans="1:4" hidden="1" x14ac:dyDescent="0.3">
      <c r="A82" t="s">
        <v>10</v>
      </c>
      <c r="B82" t="s">
        <v>20</v>
      </c>
      <c r="C82">
        <v>589998.09</v>
      </c>
      <c r="D82" t="s">
        <v>71</v>
      </c>
    </row>
    <row r="83" spans="1:4" hidden="1" x14ac:dyDescent="0.3">
      <c r="A83" t="s">
        <v>10</v>
      </c>
      <c r="B83" t="s">
        <v>21</v>
      </c>
      <c r="C83">
        <v>1253325.96</v>
      </c>
      <c r="D83" t="s">
        <v>32</v>
      </c>
    </row>
    <row r="84" spans="1:4" hidden="1" x14ac:dyDescent="0.3">
      <c r="A84" t="s">
        <v>10</v>
      </c>
      <c r="B84" t="s">
        <v>22</v>
      </c>
      <c r="C84">
        <v>867031.16</v>
      </c>
      <c r="D84" t="s">
        <v>70</v>
      </c>
    </row>
    <row r="85" spans="1:4" hidden="1" x14ac:dyDescent="0.3">
      <c r="A85" t="s">
        <v>10</v>
      </c>
      <c r="B85" t="s">
        <v>23</v>
      </c>
      <c r="C85">
        <v>1025326.99</v>
      </c>
      <c r="D85" t="s">
        <v>69</v>
      </c>
    </row>
  </sheetData>
  <autoFilter ref="A1:D85" xr:uid="{00000000-0001-0000-0300-000000000000}">
    <filterColumn colId="0">
      <filters>
        <filter val="2026-10"/>
      </filters>
    </filterColumn>
    <sortState xmlns:xlrd2="http://schemas.microsoft.com/office/spreadsheetml/2017/richdata2" ref="A50:D61">
      <sortCondition ref="B1:B85"/>
    </sortState>
  </autoFilter>
  <pageMargins left="0.75" right="0.75" top="1" bottom="1" header="0.5" footer="0.5"/>
  <headerFooter>
    <oddHeader>&amp;R&amp;"Aptos"&amp;10&amp;K000000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72</v>
      </c>
      <c r="C1" s="1" t="s">
        <v>73</v>
      </c>
      <c r="D1" s="1" t="s">
        <v>74</v>
      </c>
    </row>
    <row r="2" spans="1:4" x14ac:dyDescent="0.3">
      <c r="A2" t="s">
        <v>4</v>
      </c>
      <c r="B2" t="s">
        <v>26</v>
      </c>
      <c r="C2">
        <v>785462</v>
      </c>
      <c r="D2">
        <v>15196613.73</v>
      </c>
    </row>
    <row r="3" spans="1:4" x14ac:dyDescent="0.3">
      <c r="A3" t="s">
        <v>5</v>
      </c>
      <c r="B3" t="s">
        <v>75</v>
      </c>
      <c r="C3">
        <v>434315</v>
      </c>
      <c r="D3">
        <v>8995035.9199999999</v>
      </c>
    </row>
    <row r="4" spans="1:4" x14ac:dyDescent="0.3">
      <c r="A4" t="s">
        <v>6</v>
      </c>
      <c r="B4" t="s">
        <v>40</v>
      </c>
      <c r="C4">
        <v>408714</v>
      </c>
      <c r="D4">
        <v>8531219.2699999996</v>
      </c>
    </row>
    <row r="5" spans="1:4" x14ac:dyDescent="0.3">
      <c r="A5" t="s">
        <v>7</v>
      </c>
      <c r="B5" t="s">
        <v>76</v>
      </c>
      <c r="C5">
        <v>392787</v>
      </c>
      <c r="D5">
        <v>8378833.8499999996</v>
      </c>
    </row>
    <row r="6" spans="1:4" x14ac:dyDescent="0.3">
      <c r="A6" t="s">
        <v>8</v>
      </c>
      <c r="B6" t="s">
        <v>58</v>
      </c>
      <c r="C6">
        <v>475101</v>
      </c>
      <c r="D6">
        <v>9833040.9900000002</v>
      </c>
    </row>
    <row r="7" spans="1:4" x14ac:dyDescent="0.3">
      <c r="A7" t="s">
        <v>9</v>
      </c>
      <c r="B7" t="s">
        <v>77</v>
      </c>
      <c r="C7">
        <v>440520</v>
      </c>
      <c r="D7">
        <v>9010703.1099999994</v>
      </c>
    </row>
    <row r="8" spans="1:4" x14ac:dyDescent="0.3">
      <c r="A8" t="s">
        <v>10</v>
      </c>
      <c r="B8" t="s">
        <v>68</v>
      </c>
      <c r="C8">
        <v>482031</v>
      </c>
      <c r="D8">
        <v>9914761.3399999999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5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33</v>
      </c>
      <c r="C1" s="1" t="s">
        <v>72</v>
      </c>
      <c r="D1" s="1" t="s">
        <v>73</v>
      </c>
      <c r="E1" s="1" t="s">
        <v>74</v>
      </c>
    </row>
    <row r="2" spans="1:5" x14ac:dyDescent="0.3">
      <c r="A2" t="s">
        <v>4</v>
      </c>
      <c r="B2" t="s">
        <v>12</v>
      </c>
      <c r="C2" t="s">
        <v>26</v>
      </c>
      <c r="D2">
        <v>32626</v>
      </c>
      <c r="E2">
        <v>692595.76</v>
      </c>
    </row>
    <row r="3" spans="1:5" x14ac:dyDescent="0.3">
      <c r="A3" t="s">
        <v>4</v>
      </c>
      <c r="B3" t="s">
        <v>13</v>
      </c>
      <c r="C3" t="s">
        <v>26</v>
      </c>
      <c r="D3">
        <v>70359</v>
      </c>
      <c r="E3">
        <v>1348481.2</v>
      </c>
    </row>
    <row r="4" spans="1:5" x14ac:dyDescent="0.3">
      <c r="A4" t="s">
        <v>4</v>
      </c>
      <c r="B4" t="s">
        <v>14</v>
      </c>
      <c r="C4" t="s">
        <v>26</v>
      </c>
      <c r="D4">
        <v>99176</v>
      </c>
      <c r="E4">
        <v>2005718.11</v>
      </c>
    </row>
    <row r="5" spans="1:5" x14ac:dyDescent="0.3">
      <c r="A5" t="s">
        <v>4</v>
      </c>
      <c r="B5" t="s">
        <v>15</v>
      </c>
      <c r="C5" t="s">
        <v>26</v>
      </c>
      <c r="D5">
        <v>15278</v>
      </c>
      <c r="E5">
        <v>272219.84999999998</v>
      </c>
    </row>
    <row r="6" spans="1:5" x14ac:dyDescent="0.3">
      <c r="A6" t="s">
        <v>4</v>
      </c>
      <c r="B6" t="s">
        <v>16</v>
      </c>
      <c r="C6" t="s">
        <v>26</v>
      </c>
      <c r="D6">
        <v>129283</v>
      </c>
      <c r="E6">
        <v>2576536.7400000002</v>
      </c>
    </row>
    <row r="7" spans="1:5" x14ac:dyDescent="0.3">
      <c r="A7" t="s">
        <v>4</v>
      </c>
      <c r="B7" t="s">
        <v>17</v>
      </c>
      <c r="C7" t="s">
        <v>26</v>
      </c>
      <c r="D7">
        <v>25608</v>
      </c>
      <c r="E7">
        <v>487348.41</v>
      </c>
    </row>
    <row r="8" spans="1:5" x14ac:dyDescent="0.3">
      <c r="A8" t="s">
        <v>4</v>
      </c>
      <c r="B8" t="s">
        <v>18</v>
      </c>
      <c r="C8" t="s">
        <v>26</v>
      </c>
      <c r="D8">
        <v>71178</v>
      </c>
      <c r="E8">
        <v>1317290.67</v>
      </c>
    </row>
    <row r="9" spans="1:5" x14ac:dyDescent="0.3">
      <c r="A9" t="s">
        <v>4</v>
      </c>
      <c r="B9" t="s">
        <v>19</v>
      </c>
      <c r="C9" t="s">
        <v>26</v>
      </c>
      <c r="D9">
        <v>72216</v>
      </c>
      <c r="E9">
        <v>1353936.98</v>
      </c>
    </row>
    <row r="10" spans="1:5" x14ac:dyDescent="0.3">
      <c r="A10" t="s">
        <v>4</v>
      </c>
      <c r="B10" t="s">
        <v>20</v>
      </c>
      <c r="C10" t="s">
        <v>26</v>
      </c>
      <c r="D10">
        <v>59131</v>
      </c>
      <c r="E10">
        <v>1158216.25</v>
      </c>
    </row>
    <row r="11" spans="1:5" x14ac:dyDescent="0.3">
      <c r="A11" t="s">
        <v>4</v>
      </c>
      <c r="B11" t="s">
        <v>21</v>
      </c>
      <c r="C11" t="s">
        <v>26</v>
      </c>
      <c r="D11">
        <v>83310</v>
      </c>
      <c r="E11">
        <v>1575296.69</v>
      </c>
    </row>
    <row r="12" spans="1:5" x14ac:dyDescent="0.3">
      <c r="A12" t="s">
        <v>4</v>
      </c>
      <c r="B12" t="s">
        <v>22</v>
      </c>
      <c r="C12" t="s">
        <v>26</v>
      </c>
      <c r="D12">
        <v>48784</v>
      </c>
      <c r="E12">
        <v>923088.09</v>
      </c>
    </row>
    <row r="13" spans="1:5" x14ac:dyDescent="0.3">
      <c r="A13" t="s">
        <v>4</v>
      </c>
      <c r="B13" t="s">
        <v>23</v>
      </c>
      <c r="C13" t="s">
        <v>26</v>
      </c>
      <c r="D13">
        <v>78513</v>
      </c>
      <c r="E13">
        <v>1485884.98</v>
      </c>
    </row>
    <row r="14" spans="1:5" x14ac:dyDescent="0.3">
      <c r="A14" t="s">
        <v>5</v>
      </c>
      <c r="B14" t="s">
        <v>12</v>
      </c>
      <c r="C14" t="s">
        <v>75</v>
      </c>
      <c r="D14">
        <v>32530</v>
      </c>
      <c r="E14">
        <v>713612.46</v>
      </c>
    </row>
    <row r="15" spans="1:5" x14ac:dyDescent="0.3">
      <c r="A15" t="s">
        <v>5</v>
      </c>
      <c r="B15" t="s">
        <v>13</v>
      </c>
      <c r="C15" t="s">
        <v>75</v>
      </c>
      <c r="D15">
        <v>36525</v>
      </c>
      <c r="E15">
        <v>728636.33</v>
      </c>
    </row>
    <row r="16" spans="1:5" x14ac:dyDescent="0.3">
      <c r="A16" t="s">
        <v>5</v>
      </c>
      <c r="B16" t="s">
        <v>14</v>
      </c>
      <c r="C16" t="s">
        <v>75</v>
      </c>
      <c r="D16">
        <v>46069</v>
      </c>
      <c r="E16">
        <v>1007195.58</v>
      </c>
    </row>
    <row r="17" spans="1:5" x14ac:dyDescent="0.3">
      <c r="A17" t="s">
        <v>5</v>
      </c>
      <c r="B17" t="s">
        <v>15</v>
      </c>
      <c r="C17" t="s">
        <v>75</v>
      </c>
      <c r="D17">
        <v>22394</v>
      </c>
      <c r="E17">
        <v>508551.77</v>
      </c>
    </row>
    <row r="18" spans="1:5" x14ac:dyDescent="0.3">
      <c r="A18" t="s">
        <v>5</v>
      </c>
      <c r="B18" t="s">
        <v>16</v>
      </c>
      <c r="C18" t="s">
        <v>75</v>
      </c>
      <c r="D18">
        <v>68108</v>
      </c>
      <c r="E18">
        <v>1467016.18</v>
      </c>
    </row>
    <row r="19" spans="1:5" x14ac:dyDescent="0.3">
      <c r="A19" t="s">
        <v>5</v>
      </c>
      <c r="B19" t="s">
        <v>17</v>
      </c>
      <c r="C19" t="s">
        <v>75</v>
      </c>
      <c r="D19">
        <v>9693</v>
      </c>
      <c r="E19">
        <v>186620.95</v>
      </c>
    </row>
    <row r="20" spans="1:5" x14ac:dyDescent="0.3">
      <c r="A20" t="s">
        <v>5</v>
      </c>
      <c r="B20" t="s">
        <v>18</v>
      </c>
      <c r="C20" t="s">
        <v>75</v>
      </c>
      <c r="D20">
        <v>40829</v>
      </c>
      <c r="E20">
        <v>799132.43</v>
      </c>
    </row>
    <row r="21" spans="1:5" x14ac:dyDescent="0.3">
      <c r="A21" t="s">
        <v>5</v>
      </c>
      <c r="B21" t="s">
        <v>19</v>
      </c>
      <c r="C21" t="s">
        <v>75</v>
      </c>
      <c r="D21">
        <v>27332</v>
      </c>
      <c r="E21">
        <v>538040.1</v>
      </c>
    </row>
    <row r="22" spans="1:5" x14ac:dyDescent="0.3">
      <c r="A22" t="s">
        <v>5</v>
      </c>
      <c r="B22" t="s">
        <v>20</v>
      </c>
      <c r="C22" t="s">
        <v>75</v>
      </c>
      <c r="D22">
        <v>14334</v>
      </c>
      <c r="E22">
        <v>310577.28999999998</v>
      </c>
    </row>
    <row r="23" spans="1:5" x14ac:dyDescent="0.3">
      <c r="A23" t="s">
        <v>5</v>
      </c>
      <c r="B23" t="s">
        <v>21</v>
      </c>
      <c r="C23" t="s">
        <v>75</v>
      </c>
      <c r="D23">
        <v>57592</v>
      </c>
      <c r="E23">
        <v>1148531.3700000001</v>
      </c>
    </row>
    <row r="24" spans="1:5" x14ac:dyDescent="0.3">
      <c r="A24" t="s">
        <v>5</v>
      </c>
      <c r="B24" t="s">
        <v>22</v>
      </c>
      <c r="C24" t="s">
        <v>75</v>
      </c>
      <c r="D24">
        <v>35938</v>
      </c>
      <c r="E24">
        <v>722207.3</v>
      </c>
    </row>
    <row r="25" spans="1:5" x14ac:dyDescent="0.3">
      <c r="A25" t="s">
        <v>5</v>
      </c>
      <c r="B25" t="s">
        <v>23</v>
      </c>
      <c r="C25" t="s">
        <v>75</v>
      </c>
      <c r="D25">
        <v>42971</v>
      </c>
      <c r="E25">
        <v>864914.16</v>
      </c>
    </row>
    <row r="26" spans="1:5" x14ac:dyDescent="0.3">
      <c r="A26" t="s">
        <v>6</v>
      </c>
      <c r="B26" t="s">
        <v>12</v>
      </c>
      <c r="C26" t="s">
        <v>40</v>
      </c>
      <c r="D26">
        <v>30039</v>
      </c>
      <c r="E26">
        <v>666153.85</v>
      </c>
    </row>
    <row r="27" spans="1:5" x14ac:dyDescent="0.3">
      <c r="A27" t="s">
        <v>6</v>
      </c>
      <c r="B27" t="s">
        <v>13</v>
      </c>
      <c r="C27" t="s">
        <v>40</v>
      </c>
      <c r="D27">
        <v>41239</v>
      </c>
      <c r="E27">
        <v>755396.22</v>
      </c>
    </row>
    <row r="28" spans="1:5" x14ac:dyDescent="0.3">
      <c r="A28" t="s">
        <v>6</v>
      </c>
      <c r="B28" t="s">
        <v>14</v>
      </c>
      <c r="C28" t="s">
        <v>40</v>
      </c>
      <c r="D28">
        <v>43607</v>
      </c>
      <c r="E28">
        <v>982097.68</v>
      </c>
    </row>
    <row r="29" spans="1:5" x14ac:dyDescent="0.3">
      <c r="A29" t="s">
        <v>6</v>
      </c>
      <c r="B29" t="s">
        <v>15</v>
      </c>
      <c r="C29" t="s">
        <v>40</v>
      </c>
      <c r="D29">
        <v>17780</v>
      </c>
      <c r="E29">
        <v>426334.29</v>
      </c>
    </row>
    <row r="30" spans="1:5" x14ac:dyDescent="0.3">
      <c r="A30" t="s">
        <v>6</v>
      </c>
      <c r="B30" t="s">
        <v>16</v>
      </c>
      <c r="C30" t="s">
        <v>40</v>
      </c>
      <c r="D30">
        <v>66414</v>
      </c>
      <c r="E30">
        <v>1428406.17</v>
      </c>
    </row>
    <row r="31" spans="1:5" x14ac:dyDescent="0.3">
      <c r="A31" t="s">
        <v>6</v>
      </c>
      <c r="B31" t="s">
        <v>17</v>
      </c>
      <c r="C31" t="s">
        <v>40</v>
      </c>
      <c r="D31">
        <v>7477</v>
      </c>
      <c r="E31">
        <v>149241.48000000001</v>
      </c>
    </row>
    <row r="32" spans="1:5" x14ac:dyDescent="0.3">
      <c r="A32" t="s">
        <v>6</v>
      </c>
      <c r="B32" t="s">
        <v>18</v>
      </c>
      <c r="C32" t="s">
        <v>40</v>
      </c>
      <c r="D32">
        <v>36189</v>
      </c>
      <c r="E32">
        <v>726945.61</v>
      </c>
    </row>
    <row r="33" spans="1:5" x14ac:dyDescent="0.3">
      <c r="A33" t="s">
        <v>6</v>
      </c>
      <c r="B33" t="s">
        <v>19</v>
      </c>
      <c r="C33" t="s">
        <v>40</v>
      </c>
      <c r="D33">
        <v>24600</v>
      </c>
      <c r="E33">
        <v>495118.72</v>
      </c>
    </row>
    <row r="34" spans="1:5" x14ac:dyDescent="0.3">
      <c r="A34" t="s">
        <v>6</v>
      </c>
      <c r="B34" t="s">
        <v>20</v>
      </c>
      <c r="C34" t="s">
        <v>40</v>
      </c>
      <c r="D34">
        <v>13254</v>
      </c>
      <c r="E34">
        <v>296778.09999999998</v>
      </c>
    </row>
    <row r="35" spans="1:5" x14ac:dyDescent="0.3">
      <c r="A35" t="s">
        <v>6</v>
      </c>
      <c r="B35" t="s">
        <v>21</v>
      </c>
      <c r="C35" t="s">
        <v>40</v>
      </c>
      <c r="D35">
        <v>53179</v>
      </c>
      <c r="E35">
        <v>1078932.6499999999</v>
      </c>
    </row>
    <row r="36" spans="1:5" x14ac:dyDescent="0.3">
      <c r="A36" t="s">
        <v>6</v>
      </c>
      <c r="B36" t="s">
        <v>22</v>
      </c>
      <c r="C36" t="s">
        <v>40</v>
      </c>
      <c r="D36">
        <v>32938</v>
      </c>
      <c r="E36">
        <v>676152.91</v>
      </c>
    </row>
    <row r="37" spans="1:5" x14ac:dyDescent="0.3">
      <c r="A37" t="s">
        <v>6</v>
      </c>
      <c r="B37" t="s">
        <v>23</v>
      </c>
      <c r="C37" t="s">
        <v>40</v>
      </c>
      <c r="D37">
        <v>41998</v>
      </c>
      <c r="E37">
        <v>849661.59</v>
      </c>
    </row>
    <row r="38" spans="1:5" x14ac:dyDescent="0.3">
      <c r="A38" t="s">
        <v>7</v>
      </c>
      <c r="B38" t="s">
        <v>12</v>
      </c>
      <c r="C38" t="s">
        <v>76</v>
      </c>
      <c r="D38">
        <v>25477</v>
      </c>
      <c r="E38">
        <v>600291.99</v>
      </c>
    </row>
    <row r="39" spans="1:5" x14ac:dyDescent="0.3">
      <c r="A39" t="s">
        <v>7</v>
      </c>
      <c r="B39" t="s">
        <v>13</v>
      </c>
      <c r="C39" t="s">
        <v>76</v>
      </c>
      <c r="D39">
        <v>41419</v>
      </c>
      <c r="E39">
        <v>756465.19</v>
      </c>
    </row>
    <row r="40" spans="1:5" x14ac:dyDescent="0.3">
      <c r="A40" t="s">
        <v>7</v>
      </c>
      <c r="B40" t="s">
        <v>14</v>
      </c>
      <c r="C40" t="s">
        <v>76</v>
      </c>
      <c r="D40">
        <v>42052</v>
      </c>
      <c r="E40">
        <v>1005661.3</v>
      </c>
    </row>
    <row r="41" spans="1:5" x14ac:dyDescent="0.3">
      <c r="A41" t="s">
        <v>7</v>
      </c>
      <c r="B41" t="s">
        <v>15</v>
      </c>
      <c r="C41" t="s">
        <v>76</v>
      </c>
      <c r="D41">
        <v>20079</v>
      </c>
      <c r="E41">
        <v>460057.3</v>
      </c>
    </row>
    <row r="42" spans="1:5" x14ac:dyDescent="0.3">
      <c r="A42" t="s">
        <v>7</v>
      </c>
      <c r="B42" t="s">
        <v>16</v>
      </c>
      <c r="C42" t="s">
        <v>76</v>
      </c>
      <c r="D42">
        <v>59869</v>
      </c>
      <c r="E42">
        <v>1308328.8700000001</v>
      </c>
    </row>
    <row r="43" spans="1:5" x14ac:dyDescent="0.3">
      <c r="A43" t="s">
        <v>7</v>
      </c>
      <c r="B43" t="s">
        <v>17</v>
      </c>
      <c r="C43" t="s">
        <v>76</v>
      </c>
      <c r="D43">
        <v>9010</v>
      </c>
      <c r="E43">
        <v>177425.16</v>
      </c>
    </row>
    <row r="44" spans="1:5" x14ac:dyDescent="0.3">
      <c r="A44" t="s">
        <v>7</v>
      </c>
      <c r="B44" t="s">
        <v>18</v>
      </c>
      <c r="C44" t="s">
        <v>76</v>
      </c>
      <c r="D44">
        <v>32328</v>
      </c>
      <c r="E44">
        <v>664481.67000000004</v>
      </c>
    </row>
    <row r="45" spans="1:5" x14ac:dyDescent="0.3">
      <c r="A45" t="s">
        <v>7</v>
      </c>
      <c r="B45" t="s">
        <v>19</v>
      </c>
      <c r="C45" t="s">
        <v>76</v>
      </c>
      <c r="D45">
        <v>22962</v>
      </c>
      <c r="E45">
        <v>470729.68</v>
      </c>
    </row>
    <row r="46" spans="1:5" x14ac:dyDescent="0.3">
      <c r="A46" t="s">
        <v>7</v>
      </c>
      <c r="B46" t="s">
        <v>20</v>
      </c>
      <c r="C46" t="s">
        <v>76</v>
      </c>
      <c r="D46">
        <v>14669</v>
      </c>
      <c r="E46">
        <v>337317.69</v>
      </c>
    </row>
    <row r="47" spans="1:5" x14ac:dyDescent="0.3">
      <c r="A47" t="s">
        <v>7</v>
      </c>
      <c r="B47" t="s">
        <v>21</v>
      </c>
      <c r="C47" t="s">
        <v>76</v>
      </c>
      <c r="D47">
        <v>51364</v>
      </c>
      <c r="E47">
        <v>1062051.83</v>
      </c>
    </row>
    <row r="48" spans="1:5" x14ac:dyDescent="0.3">
      <c r="A48" t="s">
        <v>7</v>
      </c>
      <c r="B48" t="s">
        <v>22</v>
      </c>
      <c r="C48" t="s">
        <v>76</v>
      </c>
      <c r="D48">
        <v>34198</v>
      </c>
      <c r="E48">
        <v>714078.45</v>
      </c>
    </row>
    <row r="49" spans="1:5" x14ac:dyDescent="0.3">
      <c r="A49" t="s">
        <v>7</v>
      </c>
      <c r="B49" t="s">
        <v>23</v>
      </c>
      <c r="C49" t="s">
        <v>76</v>
      </c>
      <c r="D49">
        <v>39360</v>
      </c>
      <c r="E49">
        <v>821944.71</v>
      </c>
    </row>
    <row r="50" spans="1:5" x14ac:dyDescent="0.3">
      <c r="A50" t="s">
        <v>8</v>
      </c>
      <c r="B50" t="s">
        <v>12</v>
      </c>
      <c r="C50" t="s">
        <v>58</v>
      </c>
      <c r="D50">
        <v>38127</v>
      </c>
      <c r="E50">
        <v>854198.83</v>
      </c>
    </row>
    <row r="51" spans="1:5" x14ac:dyDescent="0.3">
      <c r="A51" t="s">
        <v>8</v>
      </c>
      <c r="B51" t="s">
        <v>13</v>
      </c>
      <c r="C51" t="s">
        <v>58</v>
      </c>
      <c r="D51">
        <v>43733</v>
      </c>
      <c r="E51">
        <v>799852.96</v>
      </c>
    </row>
    <row r="52" spans="1:5" x14ac:dyDescent="0.3">
      <c r="A52" t="s">
        <v>8</v>
      </c>
      <c r="B52" t="s">
        <v>14</v>
      </c>
      <c r="C52" t="s">
        <v>58</v>
      </c>
      <c r="D52">
        <v>53281</v>
      </c>
      <c r="E52">
        <v>1187050.29</v>
      </c>
    </row>
    <row r="53" spans="1:5" x14ac:dyDescent="0.3">
      <c r="A53" t="s">
        <v>8</v>
      </c>
      <c r="B53" t="s">
        <v>15</v>
      </c>
      <c r="C53" t="s">
        <v>58</v>
      </c>
      <c r="D53">
        <v>24374</v>
      </c>
      <c r="E53">
        <v>532149.26</v>
      </c>
    </row>
    <row r="54" spans="1:5" x14ac:dyDescent="0.3">
      <c r="A54" t="s">
        <v>8</v>
      </c>
      <c r="B54" t="s">
        <v>16</v>
      </c>
      <c r="C54" t="s">
        <v>58</v>
      </c>
      <c r="D54">
        <v>60567</v>
      </c>
      <c r="E54">
        <v>1308990.6499999999</v>
      </c>
    </row>
    <row r="55" spans="1:5" x14ac:dyDescent="0.3">
      <c r="A55" t="s">
        <v>8</v>
      </c>
      <c r="B55" t="s">
        <v>17</v>
      </c>
      <c r="C55" t="s">
        <v>58</v>
      </c>
      <c r="D55">
        <v>12829</v>
      </c>
      <c r="E55">
        <v>269691.77</v>
      </c>
    </row>
    <row r="56" spans="1:5" x14ac:dyDescent="0.3">
      <c r="A56" t="s">
        <v>8</v>
      </c>
      <c r="B56" t="s">
        <v>18</v>
      </c>
      <c r="C56" t="s">
        <v>58</v>
      </c>
      <c r="D56">
        <v>37144</v>
      </c>
      <c r="E56">
        <v>736534.32</v>
      </c>
    </row>
    <row r="57" spans="1:5" x14ac:dyDescent="0.3">
      <c r="A57" t="s">
        <v>8</v>
      </c>
      <c r="B57" t="s">
        <v>19</v>
      </c>
      <c r="C57" t="s">
        <v>58</v>
      </c>
      <c r="D57">
        <v>22748</v>
      </c>
      <c r="E57">
        <v>449437.54</v>
      </c>
    </row>
    <row r="58" spans="1:5" x14ac:dyDescent="0.3">
      <c r="A58" t="s">
        <v>8</v>
      </c>
      <c r="B58" t="s">
        <v>20</v>
      </c>
      <c r="C58" t="s">
        <v>58</v>
      </c>
      <c r="D58">
        <v>29592</v>
      </c>
      <c r="E58">
        <v>634867.74</v>
      </c>
    </row>
    <row r="59" spans="1:5" x14ac:dyDescent="0.3">
      <c r="A59" t="s">
        <v>8</v>
      </c>
      <c r="B59" t="s">
        <v>21</v>
      </c>
      <c r="C59" t="s">
        <v>58</v>
      </c>
      <c r="D59">
        <v>65103</v>
      </c>
      <c r="E59">
        <v>1302285.1100000001</v>
      </c>
    </row>
    <row r="60" spans="1:5" x14ac:dyDescent="0.3">
      <c r="A60" t="s">
        <v>8</v>
      </c>
      <c r="B60" t="s">
        <v>22</v>
      </c>
      <c r="C60" t="s">
        <v>58</v>
      </c>
      <c r="D60">
        <v>40367</v>
      </c>
      <c r="E60">
        <v>810437.27</v>
      </c>
    </row>
    <row r="61" spans="1:5" x14ac:dyDescent="0.3">
      <c r="A61" t="s">
        <v>8</v>
      </c>
      <c r="B61" t="s">
        <v>23</v>
      </c>
      <c r="C61" t="s">
        <v>58</v>
      </c>
      <c r="D61">
        <v>47236</v>
      </c>
      <c r="E61">
        <v>947545.26</v>
      </c>
    </row>
    <row r="62" spans="1:5" x14ac:dyDescent="0.3">
      <c r="A62" t="s">
        <v>9</v>
      </c>
      <c r="B62" t="s">
        <v>12</v>
      </c>
      <c r="C62" t="s">
        <v>77</v>
      </c>
      <c r="D62">
        <v>33432</v>
      </c>
      <c r="E62">
        <v>741215.35</v>
      </c>
    </row>
    <row r="63" spans="1:5" x14ac:dyDescent="0.3">
      <c r="A63" t="s">
        <v>9</v>
      </c>
      <c r="B63" t="s">
        <v>13</v>
      </c>
      <c r="C63" t="s">
        <v>77</v>
      </c>
      <c r="D63">
        <v>39455</v>
      </c>
      <c r="E63">
        <v>706673.33</v>
      </c>
    </row>
    <row r="64" spans="1:5" x14ac:dyDescent="0.3">
      <c r="A64" t="s">
        <v>9</v>
      </c>
      <c r="B64" t="s">
        <v>14</v>
      </c>
      <c r="C64" t="s">
        <v>77</v>
      </c>
      <c r="D64">
        <v>47995</v>
      </c>
      <c r="E64">
        <v>1044194.82</v>
      </c>
    </row>
    <row r="65" spans="1:5" x14ac:dyDescent="0.3">
      <c r="A65" t="s">
        <v>9</v>
      </c>
      <c r="B65" t="s">
        <v>15</v>
      </c>
      <c r="C65" t="s">
        <v>77</v>
      </c>
      <c r="D65">
        <v>28299</v>
      </c>
      <c r="E65">
        <v>598638.07999999996</v>
      </c>
    </row>
    <row r="66" spans="1:5" x14ac:dyDescent="0.3">
      <c r="A66" t="s">
        <v>9</v>
      </c>
      <c r="B66" t="s">
        <v>16</v>
      </c>
      <c r="C66" t="s">
        <v>77</v>
      </c>
      <c r="D66">
        <v>59452</v>
      </c>
      <c r="E66">
        <v>1268965.3</v>
      </c>
    </row>
    <row r="67" spans="1:5" x14ac:dyDescent="0.3">
      <c r="A67" t="s">
        <v>9</v>
      </c>
      <c r="B67" t="s">
        <v>17</v>
      </c>
      <c r="C67" t="s">
        <v>77</v>
      </c>
      <c r="D67">
        <v>10250</v>
      </c>
      <c r="E67">
        <v>202831.28</v>
      </c>
    </row>
    <row r="68" spans="1:5" x14ac:dyDescent="0.3">
      <c r="A68" t="s">
        <v>9</v>
      </c>
      <c r="B68" t="s">
        <v>18</v>
      </c>
      <c r="C68" t="s">
        <v>77</v>
      </c>
      <c r="D68">
        <v>33788</v>
      </c>
      <c r="E68">
        <v>678740</v>
      </c>
    </row>
    <row r="69" spans="1:5" x14ac:dyDescent="0.3">
      <c r="A69" t="s">
        <v>9</v>
      </c>
      <c r="B69" t="s">
        <v>19</v>
      </c>
      <c r="C69" t="s">
        <v>77</v>
      </c>
      <c r="D69">
        <v>23323</v>
      </c>
      <c r="E69">
        <v>468382.94</v>
      </c>
    </row>
    <row r="70" spans="1:5" x14ac:dyDescent="0.3">
      <c r="A70" t="s">
        <v>9</v>
      </c>
      <c r="B70" t="s">
        <v>20</v>
      </c>
      <c r="C70" t="s">
        <v>77</v>
      </c>
      <c r="D70">
        <v>24967</v>
      </c>
      <c r="E70">
        <v>521711.33</v>
      </c>
    </row>
    <row r="71" spans="1:5" x14ac:dyDescent="0.3">
      <c r="A71" t="s">
        <v>9</v>
      </c>
      <c r="B71" t="s">
        <v>21</v>
      </c>
      <c r="C71" t="s">
        <v>77</v>
      </c>
      <c r="D71">
        <v>56737</v>
      </c>
      <c r="E71">
        <v>1126921.42</v>
      </c>
    </row>
    <row r="72" spans="1:5" x14ac:dyDescent="0.3">
      <c r="A72" t="s">
        <v>9</v>
      </c>
      <c r="B72" t="s">
        <v>22</v>
      </c>
      <c r="C72" t="s">
        <v>77</v>
      </c>
      <c r="D72">
        <v>38035</v>
      </c>
      <c r="E72">
        <v>758914.02</v>
      </c>
    </row>
    <row r="73" spans="1:5" x14ac:dyDescent="0.3">
      <c r="A73" t="s">
        <v>9</v>
      </c>
      <c r="B73" t="s">
        <v>23</v>
      </c>
      <c r="C73" t="s">
        <v>77</v>
      </c>
      <c r="D73">
        <v>44787</v>
      </c>
      <c r="E73">
        <v>893515.25</v>
      </c>
    </row>
    <row r="74" spans="1:5" x14ac:dyDescent="0.3">
      <c r="A74" t="s">
        <v>10</v>
      </c>
      <c r="B74" t="s">
        <v>12</v>
      </c>
      <c r="C74" t="s">
        <v>68</v>
      </c>
      <c r="D74">
        <v>37932</v>
      </c>
      <c r="E74">
        <v>857690.43</v>
      </c>
    </row>
    <row r="75" spans="1:5" x14ac:dyDescent="0.3">
      <c r="A75" t="s">
        <v>10</v>
      </c>
      <c r="B75" t="s">
        <v>13</v>
      </c>
      <c r="C75" t="s">
        <v>68</v>
      </c>
      <c r="D75">
        <v>38833</v>
      </c>
      <c r="E75">
        <v>699609.55</v>
      </c>
    </row>
    <row r="76" spans="1:5" x14ac:dyDescent="0.3">
      <c r="A76" t="s">
        <v>10</v>
      </c>
      <c r="B76" t="s">
        <v>14</v>
      </c>
      <c r="C76" t="s">
        <v>68</v>
      </c>
      <c r="D76">
        <v>52456</v>
      </c>
      <c r="E76">
        <v>1193954.17</v>
      </c>
    </row>
    <row r="77" spans="1:5" x14ac:dyDescent="0.3">
      <c r="A77" t="s">
        <v>10</v>
      </c>
      <c r="B77" t="s">
        <v>15</v>
      </c>
      <c r="C77" t="s">
        <v>68</v>
      </c>
      <c r="D77">
        <v>30235</v>
      </c>
      <c r="E77">
        <v>629383.24</v>
      </c>
    </row>
    <row r="78" spans="1:5" x14ac:dyDescent="0.3">
      <c r="A78" t="s">
        <v>10</v>
      </c>
      <c r="B78" t="s">
        <v>16</v>
      </c>
      <c r="C78" t="s">
        <v>68</v>
      </c>
      <c r="D78">
        <v>66522</v>
      </c>
      <c r="E78">
        <v>1384633.22</v>
      </c>
    </row>
    <row r="79" spans="1:5" x14ac:dyDescent="0.3">
      <c r="A79" t="s">
        <v>10</v>
      </c>
      <c r="B79" t="s">
        <v>17</v>
      </c>
      <c r="C79" t="s">
        <v>68</v>
      </c>
      <c r="D79">
        <v>13819</v>
      </c>
      <c r="E79">
        <v>268908.46000000002</v>
      </c>
    </row>
    <row r="80" spans="1:5" x14ac:dyDescent="0.3">
      <c r="A80" t="s">
        <v>10</v>
      </c>
      <c r="B80" t="s">
        <v>18</v>
      </c>
      <c r="C80" t="s">
        <v>68</v>
      </c>
      <c r="D80">
        <v>39422</v>
      </c>
      <c r="E80">
        <v>789424.41</v>
      </c>
    </row>
    <row r="81" spans="1:5" x14ac:dyDescent="0.3">
      <c r="A81" t="s">
        <v>10</v>
      </c>
      <c r="B81" t="s">
        <v>19</v>
      </c>
      <c r="C81" t="s">
        <v>68</v>
      </c>
      <c r="D81">
        <v>27119</v>
      </c>
      <c r="E81">
        <v>540596.19999999995</v>
      </c>
    </row>
    <row r="82" spans="1:5" x14ac:dyDescent="0.3">
      <c r="A82" t="s">
        <v>10</v>
      </c>
      <c r="B82" t="s">
        <v>20</v>
      </c>
      <c r="C82" t="s">
        <v>68</v>
      </c>
      <c r="D82">
        <v>24452</v>
      </c>
      <c r="E82">
        <v>513189.3</v>
      </c>
    </row>
    <row r="83" spans="1:5" x14ac:dyDescent="0.3">
      <c r="A83" t="s">
        <v>10</v>
      </c>
      <c r="B83" t="s">
        <v>21</v>
      </c>
      <c r="C83" t="s">
        <v>68</v>
      </c>
      <c r="D83">
        <v>61888</v>
      </c>
      <c r="E83">
        <v>1238147.92</v>
      </c>
    </row>
    <row r="84" spans="1:5" x14ac:dyDescent="0.3">
      <c r="A84" t="s">
        <v>10</v>
      </c>
      <c r="B84" t="s">
        <v>22</v>
      </c>
      <c r="C84" t="s">
        <v>68</v>
      </c>
      <c r="D84">
        <v>42080</v>
      </c>
      <c r="E84">
        <v>846640.26</v>
      </c>
    </row>
    <row r="85" spans="1:5" x14ac:dyDescent="0.3">
      <c r="A85" t="s">
        <v>10</v>
      </c>
      <c r="B85" t="s">
        <v>23</v>
      </c>
      <c r="C85" t="s">
        <v>68</v>
      </c>
      <c r="D85">
        <v>47273</v>
      </c>
      <c r="E85">
        <v>952584.17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2"/>
  <sheetViews>
    <sheetView workbookViewId="0"/>
  </sheetViews>
  <sheetFormatPr defaultRowHeight="14.4" x14ac:dyDescent="0.3"/>
  <sheetData>
    <row r="1" spans="1:17" x14ac:dyDescent="0.3">
      <c r="A1" s="1" t="s">
        <v>78</v>
      </c>
      <c r="B1" s="1" t="s">
        <v>11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</row>
    <row r="2" spans="1:17" x14ac:dyDescent="0.3">
      <c r="A2" t="s">
        <v>94</v>
      </c>
      <c r="B2" t="s">
        <v>12</v>
      </c>
      <c r="C2">
        <v>46382</v>
      </c>
      <c r="D2">
        <v>253076</v>
      </c>
      <c r="E2">
        <v>1.41</v>
      </c>
      <c r="F2">
        <v>1</v>
      </c>
      <c r="G2">
        <v>3</v>
      </c>
      <c r="H2">
        <v>4.2</v>
      </c>
      <c r="I2">
        <v>4</v>
      </c>
      <c r="J2">
        <v>5</v>
      </c>
      <c r="K2">
        <v>5.61</v>
      </c>
      <c r="L2">
        <v>6</v>
      </c>
      <c r="M2">
        <v>7</v>
      </c>
      <c r="N2">
        <v>5</v>
      </c>
      <c r="O2">
        <v>4</v>
      </c>
      <c r="P2">
        <v>0.8</v>
      </c>
      <c r="Q2">
        <v>5.8</v>
      </c>
    </row>
    <row r="3" spans="1:17" x14ac:dyDescent="0.3">
      <c r="A3" t="s">
        <v>95</v>
      </c>
      <c r="B3" t="s">
        <v>12</v>
      </c>
      <c r="C3">
        <v>28400</v>
      </c>
      <c r="D3">
        <v>144402</v>
      </c>
      <c r="E3">
        <v>2.74</v>
      </c>
      <c r="F3">
        <v>3</v>
      </c>
      <c r="G3">
        <v>5</v>
      </c>
      <c r="H3">
        <v>8.1999999999999993</v>
      </c>
      <c r="I3">
        <v>8</v>
      </c>
      <c r="J3">
        <v>9</v>
      </c>
      <c r="K3">
        <v>10.94</v>
      </c>
      <c r="L3">
        <v>11</v>
      </c>
      <c r="M3">
        <v>14</v>
      </c>
      <c r="N3">
        <v>9.1999999999999993</v>
      </c>
      <c r="O3">
        <v>8.1999999999999993</v>
      </c>
      <c r="P3">
        <v>0.7</v>
      </c>
      <c r="Q3">
        <v>9.9</v>
      </c>
    </row>
    <row r="4" spans="1:17" x14ac:dyDescent="0.3">
      <c r="A4" t="s">
        <v>96</v>
      </c>
      <c r="B4" t="s">
        <v>12</v>
      </c>
      <c r="C4">
        <v>6213</v>
      </c>
      <c r="D4">
        <v>83264</v>
      </c>
      <c r="E4">
        <v>0.26</v>
      </c>
      <c r="F4">
        <v>0</v>
      </c>
      <c r="G4">
        <v>1</v>
      </c>
      <c r="H4">
        <v>3.79</v>
      </c>
      <c r="I4">
        <v>4</v>
      </c>
      <c r="J4">
        <v>4</v>
      </c>
      <c r="K4">
        <v>4.05</v>
      </c>
      <c r="L4">
        <v>4</v>
      </c>
      <c r="M4">
        <v>5</v>
      </c>
      <c r="N4">
        <v>4.5999999999999996</v>
      </c>
      <c r="O4">
        <v>3.6</v>
      </c>
      <c r="P4">
        <v>0.2</v>
      </c>
      <c r="Q4">
        <v>4.8</v>
      </c>
    </row>
    <row r="5" spans="1:17" x14ac:dyDescent="0.3">
      <c r="A5" t="s">
        <v>97</v>
      </c>
      <c r="B5" t="s">
        <v>13</v>
      </c>
      <c r="C5">
        <v>48535</v>
      </c>
      <c r="D5">
        <v>235546</v>
      </c>
      <c r="E5">
        <v>1.35</v>
      </c>
      <c r="F5">
        <v>1</v>
      </c>
      <c r="G5">
        <v>3</v>
      </c>
      <c r="H5">
        <v>4.2</v>
      </c>
      <c r="I5">
        <v>4</v>
      </c>
      <c r="J5">
        <v>5</v>
      </c>
      <c r="K5">
        <v>5.55</v>
      </c>
      <c r="L5">
        <v>5</v>
      </c>
      <c r="M5">
        <v>7</v>
      </c>
      <c r="N5">
        <v>5.4</v>
      </c>
      <c r="O5">
        <v>4.4000000000000004</v>
      </c>
      <c r="P5">
        <v>0.8</v>
      </c>
      <c r="Q5">
        <v>6.2</v>
      </c>
    </row>
    <row r="6" spans="1:17" x14ac:dyDescent="0.3">
      <c r="A6" t="s">
        <v>98</v>
      </c>
      <c r="B6" t="s">
        <v>13</v>
      </c>
      <c r="C6">
        <v>79871</v>
      </c>
      <c r="D6">
        <v>306940</v>
      </c>
      <c r="E6">
        <v>1.17</v>
      </c>
      <c r="F6">
        <v>1</v>
      </c>
      <c r="G6">
        <v>2</v>
      </c>
      <c r="H6">
        <v>2.2000000000000002</v>
      </c>
      <c r="I6">
        <v>2</v>
      </c>
      <c r="J6">
        <v>3</v>
      </c>
      <c r="K6">
        <v>3.37</v>
      </c>
      <c r="L6">
        <v>3</v>
      </c>
      <c r="M6">
        <v>5</v>
      </c>
      <c r="N6">
        <v>3</v>
      </c>
      <c r="O6">
        <v>2</v>
      </c>
      <c r="P6">
        <v>0.8</v>
      </c>
      <c r="Q6">
        <v>3.8</v>
      </c>
    </row>
    <row r="7" spans="1:17" x14ac:dyDescent="0.3">
      <c r="A7" t="s">
        <v>99</v>
      </c>
      <c r="B7" t="s">
        <v>14</v>
      </c>
      <c r="C7">
        <v>45586</v>
      </c>
      <c r="D7">
        <v>491302</v>
      </c>
      <c r="E7">
        <v>0.38</v>
      </c>
      <c r="F7">
        <v>0</v>
      </c>
      <c r="G7">
        <v>1</v>
      </c>
      <c r="H7">
        <v>1.2</v>
      </c>
      <c r="I7">
        <v>1</v>
      </c>
      <c r="J7">
        <v>2</v>
      </c>
      <c r="K7">
        <v>1.58</v>
      </c>
      <c r="L7">
        <v>1</v>
      </c>
      <c r="M7">
        <v>3</v>
      </c>
      <c r="N7">
        <v>2.6</v>
      </c>
      <c r="O7">
        <v>1.6</v>
      </c>
      <c r="P7">
        <v>0.4</v>
      </c>
      <c r="Q7">
        <v>3</v>
      </c>
    </row>
    <row r="8" spans="1:17" x14ac:dyDescent="0.3">
      <c r="A8" t="s">
        <v>97</v>
      </c>
      <c r="B8" t="s">
        <v>14</v>
      </c>
      <c r="C8">
        <v>96039</v>
      </c>
      <c r="D8">
        <v>552149</v>
      </c>
      <c r="E8">
        <v>0.47</v>
      </c>
      <c r="F8">
        <v>0</v>
      </c>
      <c r="G8">
        <v>1</v>
      </c>
      <c r="H8">
        <v>3.2</v>
      </c>
      <c r="I8">
        <v>3</v>
      </c>
      <c r="J8">
        <v>4</v>
      </c>
      <c r="K8">
        <v>3.67</v>
      </c>
      <c r="L8">
        <v>4</v>
      </c>
      <c r="M8">
        <v>5</v>
      </c>
      <c r="N8">
        <v>4.2</v>
      </c>
      <c r="O8">
        <v>3.2</v>
      </c>
      <c r="P8">
        <v>0.6</v>
      </c>
      <c r="Q8">
        <v>4.8</v>
      </c>
    </row>
    <row r="9" spans="1:17" x14ac:dyDescent="0.3">
      <c r="A9" t="s">
        <v>98</v>
      </c>
      <c r="B9" t="s">
        <v>14</v>
      </c>
      <c r="C9">
        <v>100569</v>
      </c>
      <c r="D9">
        <v>428719</v>
      </c>
      <c r="E9">
        <v>0.51</v>
      </c>
      <c r="F9">
        <v>0</v>
      </c>
      <c r="G9">
        <v>1</v>
      </c>
      <c r="H9">
        <v>2.2000000000000002</v>
      </c>
      <c r="I9">
        <v>2</v>
      </c>
      <c r="J9">
        <v>3</v>
      </c>
      <c r="K9">
        <v>2.7</v>
      </c>
      <c r="L9">
        <v>3</v>
      </c>
      <c r="M9">
        <v>4</v>
      </c>
      <c r="N9">
        <v>3.3</v>
      </c>
      <c r="O9">
        <v>2.2999999999999998</v>
      </c>
      <c r="P9">
        <v>0.6</v>
      </c>
      <c r="Q9">
        <v>3.9</v>
      </c>
    </row>
    <row r="10" spans="1:17" x14ac:dyDescent="0.3">
      <c r="A10" t="s">
        <v>94</v>
      </c>
      <c r="B10" t="s">
        <v>15</v>
      </c>
      <c r="C10">
        <v>47358</v>
      </c>
      <c r="D10">
        <v>113620</v>
      </c>
      <c r="E10">
        <v>3.1</v>
      </c>
      <c r="F10">
        <v>3</v>
      </c>
      <c r="G10">
        <v>6</v>
      </c>
      <c r="H10">
        <v>8.1999999999999993</v>
      </c>
      <c r="I10">
        <v>8</v>
      </c>
      <c r="J10">
        <v>9</v>
      </c>
      <c r="K10">
        <v>11.31</v>
      </c>
      <c r="L10">
        <v>11</v>
      </c>
      <c r="M10">
        <v>14</v>
      </c>
      <c r="N10">
        <v>9.3000000000000007</v>
      </c>
      <c r="O10">
        <v>8.3000000000000007</v>
      </c>
      <c r="P10">
        <v>0.5</v>
      </c>
      <c r="Q10">
        <v>9.8000000000000007</v>
      </c>
    </row>
    <row r="11" spans="1:17" x14ac:dyDescent="0.3">
      <c r="A11" t="s">
        <v>95</v>
      </c>
      <c r="B11" t="s">
        <v>15</v>
      </c>
      <c r="C11">
        <v>20848</v>
      </c>
      <c r="D11">
        <v>59136</v>
      </c>
      <c r="E11">
        <v>3.31</v>
      </c>
      <c r="F11">
        <v>3</v>
      </c>
      <c r="G11">
        <v>7</v>
      </c>
      <c r="H11">
        <v>16.2</v>
      </c>
      <c r="I11">
        <v>16</v>
      </c>
      <c r="J11">
        <v>17</v>
      </c>
      <c r="K11">
        <v>19.510000000000002</v>
      </c>
      <c r="L11">
        <v>19</v>
      </c>
      <c r="M11">
        <v>23</v>
      </c>
      <c r="N11">
        <v>16.8</v>
      </c>
      <c r="O11">
        <v>15.8</v>
      </c>
      <c r="P11">
        <v>1</v>
      </c>
      <c r="Q11">
        <v>17.8</v>
      </c>
    </row>
    <row r="12" spans="1:17" x14ac:dyDescent="0.3">
      <c r="A12" t="s">
        <v>96</v>
      </c>
      <c r="B12" t="s">
        <v>15</v>
      </c>
      <c r="C12">
        <v>7930</v>
      </c>
      <c r="D12">
        <v>43764</v>
      </c>
      <c r="E12">
        <v>0.59</v>
      </c>
      <c r="F12">
        <v>0</v>
      </c>
      <c r="G12">
        <v>2</v>
      </c>
      <c r="H12">
        <v>1.2</v>
      </c>
      <c r="I12">
        <v>1</v>
      </c>
      <c r="J12">
        <v>2</v>
      </c>
      <c r="K12">
        <v>1.79</v>
      </c>
      <c r="L12">
        <v>2</v>
      </c>
      <c r="M12">
        <v>3</v>
      </c>
      <c r="N12">
        <v>2.4</v>
      </c>
      <c r="O12">
        <v>1.4</v>
      </c>
      <c r="P12">
        <v>0.5</v>
      </c>
      <c r="Q12">
        <v>2.9</v>
      </c>
    </row>
    <row r="13" spans="1:17" x14ac:dyDescent="0.3">
      <c r="A13" t="s">
        <v>94</v>
      </c>
      <c r="B13" t="s">
        <v>16</v>
      </c>
      <c r="C13">
        <v>72937</v>
      </c>
      <c r="D13">
        <v>284656</v>
      </c>
      <c r="E13">
        <v>1.39</v>
      </c>
      <c r="F13">
        <v>1</v>
      </c>
      <c r="G13">
        <v>3</v>
      </c>
      <c r="H13">
        <v>2.2000000000000002</v>
      </c>
      <c r="I13">
        <v>2</v>
      </c>
      <c r="J13">
        <v>3</v>
      </c>
      <c r="K13">
        <v>3.59</v>
      </c>
      <c r="L13">
        <v>4</v>
      </c>
      <c r="M13">
        <v>5</v>
      </c>
      <c r="N13">
        <v>3.6</v>
      </c>
      <c r="O13">
        <v>2.6</v>
      </c>
      <c r="P13">
        <v>0.9</v>
      </c>
      <c r="Q13">
        <v>4.5</v>
      </c>
    </row>
    <row r="14" spans="1:17" x14ac:dyDescent="0.3">
      <c r="A14" t="s">
        <v>95</v>
      </c>
      <c r="B14" t="s">
        <v>16</v>
      </c>
      <c r="C14">
        <v>23766</v>
      </c>
      <c r="D14">
        <v>157040</v>
      </c>
      <c r="E14">
        <v>3.18</v>
      </c>
      <c r="F14">
        <v>3</v>
      </c>
      <c r="G14">
        <v>6</v>
      </c>
      <c r="H14">
        <v>1.2</v>
      </c>
      <c r="I14">
        <v>1</v>
      </c>
      <c r="J14">
        <v>2</v>
      </c>
      <c r="K14">
        <v>4.37</v>
      </c>
      <c r="L14">
        <v>4</v>
      </c>
      <c r="M14">
        <v>7</v>
      </c>
      <c r="N14">
        <v>1.8</v>
      </c>
      <c r="O14">
        <v>0.8</v>
      </c>
      <c r="P14">
        <v>1.4</v>
      </c>
      <c r="Q14">
        <v>3.2</v>
      </c>
    </row>
    <row r="15" spans="1:17" x14ac:dyDescent="0.3">
      <c r="A15" t="s">
        <v>96</v>
      </c>
      <c r="B15" t="s">
        <v>16</v>
      </c>
      <c r="C15">
        <v>15660</v>
      </c>
      <c r="D15">
        <v>89670</v>
      </c>
      <c r="E15">
        <v>0.18</v>
      </c>
      <c r="F15">
        <v>0</v>
      </c>
      <c r="G15">
        <v>1</v>
      </c>
      <c r="H15">
        <v>4.2</v>
      </c>
      <c r="I15">
        <v>4</v>
      </c>
      <c r="J15">
        <v>5</v>
      </c>
      <c r="K15">
        <v>4.37</v>
      </c>
      <c r="L15">
        <v>4</v>
      </c>
      <c r="M15">
        <v>5</v>
      </c>
      <c r="N15">
        <v>5.8</v>
      </c>
      <c r="O15">
        <v>4.8</v>
      </c>
      <c r="P15">
        <v>0.5</v>
      </c>
      <c r="Q15">
        <v>6.3</v>
      </c>
    </row>
    <row r="16" spans="1:17" x14ac:dyDescent="0.3">
      <c r="A16" t="s">
        <v>94</v>
      </c>
      <c r="B16" t="s">
        <v>17</v>
      </c>
      <c r="C16">
        <v>30913</v>
      </c>
      <c r="D16">
        <v>69956</v>
      </c>
      <c r="E16">
        <v>3.18</v>
      </c>
      <c r="F16">
        <v>3</v>
      </c>
      <c r="G16">
        <v>6</v>
      </c>
      <c r="H16">
        <v>4.21</v>
      </c>
      <c r="I16">
        <v>4</v>
      </c>
      <c r="J16">
        <v>5</v>
      </c>
      <c r="K16">
        <v>7.39</v>
      </c>
      <c r="L16">
        <v>7</v>
      </c>
      <c r="M16">
        <v>10</v>
      </c>
      <c r="N16">
        <v>5.7</v>
      </c>
      <c r="O16">
        <v>4.7</v>
      </c>
      <c r="P16">
        <v>0.7</v>
      </c>
      <c r="Q16">
        <v>6.4</v>
      </c>
    </row>
    <row r="17" spans="1:17" x14ac:dyDescent="0.3">
      <c r="A17" t="s">
        <v>95</v>
      </c>
      <c r="B17" t="s">
        <v>17</v>
      </c>
      <c r="C17">
        <v>13350</v>
      </c>
      <c r="D17">
        <v>31943</v>
      </c>
      <c r="E17">
        <v>3.88</v>
      </c>
      <c r="F17">
        <v>4</v>
      </c>
      <c r="G17">
        <v>8</v>
      </c>
      <c r="H17">
        <v>12.2</v>
      </c>
      <c r="I17">
        <v>12</v>
      </c>
      <c r="J17">
        <v>13</v>
      </c>
      <c r="K17">
        <v>16.079999999999998</v>
      </c>
      <c r="L17">
        <v>16</v>
      </c>
      <c r="M17">
        <v>21</v>
      </c>
      <c r="N17">
        <v>12.5</v>
      </c>
      <c r="O17">
        <v>11.5</v>
      </c>
      <c r="P17">
        <v>1</v>
      </c>
      <c r="Q17">
        <v>13.5</v>
      </c>
    </row>
    <row r="18" spans="1:17" x14ac:dyDescent="0.3">
      <c r="A18" t="s">
        <v>100</v>
      </c>
      <c r="B18" t="s">
        <v>17</v>
      </c>
      <c r="C18">
        <v>4770</v>
      </c>
      <c r="D18">
        <v>9032</v>
      </c>
      <c r="E18">
        <v>4.0999999999999996</v>
      </c>
      <c r="F18">
        <v>4</v>
      </c>
      <c r="G18">
        <v>9</v>
      </c>
      <c r="H18">
        <v>13.19</v>
      </c>
      <c r="I18">
        <v>13</v>
      </c>
      <c r="J18">
        <v>14</v>
      </c>
      <c r="K18">
        <v>17.29</v>
      </c>
      <c r="L18">
        <v>17</v>
      </c>
      <c r="M18">
        <v>22</v>
      </c>
      <c r="N18">
        <v>12.5</v>
      </c>
      <c r="O18">
        <v>12</v>
      </c>
      <c r="P18">
        <v>1</v>
      </c>
      <c r="Q18">
        <v>13.5</v>
      </c>
    </row>
    <row r="19" spans="1:17" x14ac:dyDescent="0.3">
      <c r="A19" t="s">
        <v>95</v>
      </c>
      <c r="B19" t="s">
        <v>18</v>
      </c>
      <c r="C19">
        <v>68264</v>
      </c>
      <c r="D19">
        <v>331257</v>
      </c>
      <c r="E19">
        <v>1.03</v>
      </c>
      <c r="F19">
        <v>1</v>
      </c>
      <c r="G19">
        <v>2</v>
      </c>
      <c r="H19">
        <v>2.2000000000000002</v>
      </c>
      <c r="I19">
        <v>2</v>
      </c>
      <c r="J19">
        <v>3</v>
      </c>
      <c r="K19">
        <v>3.22</v>
      </c>
      <c r="L19">
        <v>3</v>
      </c>
      <c r="M19">
        <v>4</v>
      </c>
      <c r="N19">
        <v>3.3</v>
      </c>
      <c r="O19">
        <v>2.2999999999999998</v>
      </c>
      <c r="P19">
        <v>0.2</v>
      </c>
      <c r="Q19">
        <v>3.5</v>
      </c>
    </row>
    <row r="20" spans="1:17" x14ac:dyDescent="0.3">
      <c r="A20" t="s">
        <v>98</v>
      </c>
      <c r="B20" t="s">
        <v>18</v>
      </c>
      <c r="C20">
        <v>23761</v>
      </c>
      <c r="D20">
        <v>77299</v>
      </c>
      <c r="E20">
        <v>2.77</v>
      </c>
      <c r="F20">
        <v>3</v>
      </c>
      <c r="G20">
        <v>6</v>
      </c>
      <c r="H20">
        <v>10.199999999999999</v>
      </c>
      <c r="I20">
        <v>10</v>
      </c>
      <c r="J20">
        <v>11</v>
      </c>
      <c r="K20">
        <v>12.97</v>
      </c>
      <c r="L20">
        <v>13</v>
      </c>
      <c r="M20">
        <v>16</v>
      </c>
      <c r="N20">
        <v>11</v>
      </c>
      <c r="O20">
        <v>10</v>
      </c>
      <c r="P20">
        <v>0.3</v>
      </c>
      <c r="Q20">
        <v>11.3</v>
      </c>
    </row>
    <row r="21" spans="1:17" x14ac:dyDescent="0.3">
      <c r="A21" t="s">
        <v>101</v>
      </c>
      <c r="B21" t="s">
        <v>18</v>
      </c>
      <c r="C21">
        <v>7206</v>
      </c>
      <c r="D21">
        <v>71585</v>
      </c>
      <c r="E21">
        <v>2.17</v>
      </c>
      <c r="F21">
        <v>2</v>
      </c>
      <c r="G21">
        <v>4</v>
      </c>
      <c r="H21">
        <v>0.2</v>
      </c>
      <c r="I21">
        <v>0</v>
      </c>
      <c r="J21">
        <v>1</v>
      </c>
      <c r="K21">
        <v>2.37</v>
      </c>
      <c r="L21">
        <v>2</v>
      </c>
      <c r="M21">
        <v>4</v>
      </c>
      <c r="N21">
        <v>1.9</v>
      </c>
      <c r="O21">
        <v>0.89999999999999991</v>
      </c>
      <c r="P21">
        <v>0.3</v>
      </c>
      <c r="Q21">
        <v>2.2000000000000002</v>
      </c>
    </row>
    <row r="22" spans="1:17" x14ac:dyDescent="0.3">
      <c r="A22" t="s">
        <v>95</v>
      </c>
      <c r="B22" t="s">
        <v>19</v>
      </c>
      <c r="C22">
        <v>41915</v>
      </c>
      <c r="D22">
        <v>191973</v>
      </c>
      <c r="E22">
        <v>1.78</v>
      </c>
      <c r="F22">
        <v>2</v>
      </c>
      <c r="G22">
        <v>3</v>
      </c>
      <c r="H22">
        <v>1.2</v>
      </c>
      <c r="I22">
        <v>1</v>
      </c>
      <c r="J22">
        <v>2</v>
      </c>
      <c r="K22">
        <v>2.98</v>
      </c>
      <c r="L22">
        <v>3</v>
      </c>
      <c r="M22">
        <v>5</v>
      </c>
      <c r="N22">
        <v>2.8</v>
      </c>
      <c r="O22">
        <v>1.8</v>
      </c>
      <c r="P22">
        <v>0.2</v>
      </c>
      <c r="Q22">
        <v>3</v>
      </c>
    </row>
    <row r="23" spans="1:17" x14ac:dyDescent="0.3">
      <c r="A23" t="s">
        <v>98</v>
      </c>
      <c r="B23" t="s">
        <v>19</v>
      </c>
      <c r="C23">
        <v>17599</v>
      </c>
      <c r="D23">
        <v>45270</v>
      </c>
      <c r="E23">
        <v>3.47</v>
      </c>
      <c r="F23">
        <v>3</v>
      </c>
      <c r="G23">
        <v>7</v>
      </c>
      <c r="H23">
        <v>13.2</v>
      </c>
      <c r="I23">
        <v>13</v>
      </c>
      <c r="J23">
        <v>14</v>
      </c>
      <c r="K23">
        <v>16.66</v>
      </c>
      <c r="L23">
        <v>17</v>
      </c>
      <c r="M23">
        <v>20</v>
      </c>
      <c r="N23">
        <v>14</v>
      </c>
      <c r="O23">
        <v>13</v>
      </c>
      <c r="P23">
        <v>0.4</v>
      </c>
      <c r="Q23">
        <v>14.4</v>
      </c>
    </row>
    <row r="24" spans="1:17" x14ac:dyDescent="0.3">
      <c r="A24" t="s">
        <v>101</v>
      </c>
      <c r="B24" t="s">
        <v>19</v>
      </c>
      <c r="C24">
        <v>4913</v>
      </c>
      <c r="D24">
        <v>44377</v>
      </c>
      <c r="E24">
        <v>2.15</v>
      </c>
      <c r="F24">
        <v>2</v>
      </c>
      <c r="G24">
        <v>4</v>
      </c>
      <c r="H24">
        <v>0.2</v>
      </c>
      <c r="I24">
        <v>0</v>
      </c>
      <c r="J24">
        <v>1</v>
      </c>
      <c r="K24">
        <v>2.36</v>
      </c>
      <c r="L24">
        <v>2</v>
      </c>
      <c r="M24">
        <v>4</v>
      </c>
      <c r="N24">
        <v>1.8</v>
      </c>
      <c r="O24">
        <v>0.8</v>
      </c>
      <c r="P24">
        <v>0</v>
      </c>
      <c r="Q24">
        <v>1.8</v>
      </c>
    </row>
    <row r="25" spans="1:17" x14ac:dyDescent="0.3">
      <c r="A25" t="s">
        <v>102</v>
      </c>
      <c r="B25" t="s">
        <v>20</v>
      </c>
      <c r="C25">
        <v>23725</v>
      </c>
      <c r="D25">
        <v>88558</v>
      </c>
      <c r="E25">
        <v>1.33</v>
      </c>
      <c r="F25">
        <v>1</v>
      </c>
      <c r="G25">
        <v>3</v>
      </c>
      <c r="H25">
        <v>6.2</v>
      </c>
      <c r="I25">
        <v>6</v>
      </c>
      <c r="J25">
        <v>7</v>
      </c>
      <c r="K25">
        <v>7.53</v>
      </c>
      <c r="L25">
        <v>7</v>
      </c>
      <c r="M25">
        <v>9</v>
      </c>
      <c r="N25">
        <v>7.1</v>
      </c>
      <c r="O25">
        <v>6.1</v>
      </c>
      <c r="P25">
        <v>0.7</v>
      </c>
      <c r="Q25">
        <v>7.8</v>
      </c>
    </row>
    <row r="26" spans="1:17" x14ac:dyDescent="0.3">
      <c r="A26" t="s">
        <v>94</v>
      </c>
      <c r="B26" t="s">
        <v>20</v>
      </c>
      <c r="C26">
        <v>101320</v>
      </c>
      <c r="D26">
        <v>226104</v>
      </c>
      <c r="E26">
        <v>1.59</v>
      </c>
      <c r="F26">
        <v>1</v>
      </c>
      <c r="G26">
        <v>3</v>
      </c>
      <c r="H26">
        <v>7.2</v>
      </c>
      <c r="I26">
        <v>7</v>
      </c>
      <c r="J26">
        <v>8</v>
      </c>
      <c r="K26">
        <v>8.7899999999999991</v>
      </c>
      <c r="L26">
        <v>9</v>
      </c>
      <c r="M26">
        <v>11</v>
      </c>
      <c r="N26">
        <v>7.2</v>
      </c>
      <c r="O26">
        <v>6.2</v>
      </c>
      <c r="P26">
        <v>1.3</v>
      </c>
      <c r="Q26">
        <v>8.5</v>
      </c>
    </row>
    <row r="27" spans="1:17" x14ac:dyDescent="0.3">
      <c r="A27" t="s">
        <v>102</v>
      </c>
      <c r="B27" t="s">
        <v>21</v>
      </c>
      <c r="C27">
        <v>23565</v>
      </c>
      <c r="D27">
        <v>277584</v>
      </c>
      <c r="E27">
        <v>0.63</v>
      </c>
      <c r="F27">
        <v>0</v>
      </c>
      <c r="G27">
        <v>2</v>
      </c>
      <c r="H27">
        <v>1</v>
      </c>
      <c r="I27">
        <v>1</v>
      </c>
      <c r="J27">
        <v>1</v>
      </c>
      <c r="K27">
        <v>1.63</v>
      </c>
      <c r="L27">
        <v>1</v>
      </c>
      <c r="M27">
        <v>3</v>
      </c>
      <c r="N27">
        <v>2</v>
      </c>
      <c r="O27">
        <v>1</v>
      </c>
      <c r="P27">
        <v>0.7</v>
      </c>
      <c r="Q27">
        <v>2.7</v>
      </c>
    </row>
    <row r="28" spans="1:17" x14ac:dyDescent="0.3">
      <c r="A28" t="s">
        <v>98</v>
      </c>
      <c r="B28" t="s">
        <v>21</v>
      </c>
      <c r="C28">
        <v>180125</v>
      </c>
      <c r="D28">
        <v>669439</v>
      </c>
      <c r="E28">
        <v>0.49</v>
      </c>
      <c r="F28">
        <v>0</v>
      </c>
      <c r="G28">
        <v>1</v>
      </c>
      <c r="H28">
        <v>4.2</v>
      </c>
      <c r="I28">
        <v>4</v>
      </c>
      <c r="J28">
        <v>5</v>
      </c>
      <c r="K28">
        <v>4.68</v>
      </c>
      <c r="L28">
        <v>5</v>
      </c>
      <c r="M28">
        <v>6</v>
      </c>
      <c r="N28">
        <v>4.8</v>
      </c>
      <c r="O28">
        <v>3.8</v>
      </c>
      <c r="P28">
        <v>1</v>
      </c>
      <c r="Q28">
        <v>5.8</v>
      </c>
    </row>
    <row r="29" spans="1:17" x14ac:dyDescent="0.3">
      <c r="A29" t="s">
        <v>102</v>
      </c>
      <c r="B29" t="s">
        <v>22</v>
      </c>
      <c r="C29">
        <v>13848</v>
      </c>
      <c r="D29">
        <v>158585</v>
      </c>
      <c r="E29">
        <v>1.32</v>
      </c>
      <c r="F29">
        <v>1</v>
      </c>
      <c r="G29">
        <v>3</v>
      </c>
      <c r="H29">
        <v>1</v>
      </c>
      <c r="I29">
        <v>1</v>
      </c>
      <c r="J29">
        <v>1</v>
      </c>
      <c r="K29">
        <v>2.3199999999999998</v>
      </c>
      <c r="L29">
        <v>2</v>
      </c>
      <c r="M29">
        <v>4</v>
      </c>
      <c r="N29">
        <v>2.8</v>
      </c>
      <c r="O29">
        <v>1.8</v>
      </c>
      <c r="P29">
        <v>0.8</v>
      </c>
      <c r="Q29">
        <v>3.6</v>
      </c>
    </row>
    <row r="30" spans="1:17" x14ac:dyDescent="0.3">
      <c r="A30" t="s">
        <v>98</v>
      </c>
      <c r="B30" t="s">
        <v>22</v>
      </c>
      <c r="C30">
        <v>127853</v>
      </c>
      <c r="D30">
        <v>434476</v>
      </c>
      <c r="E30">
        <v>0.85</v>
      </c>
      <c r="F30">
        <v>1</v>
      </c>
      <c r="G30">
        <v>2</v>
      </c>
      <c r="H30">
        <v>4.2</v>
      </c>
      <c r="I30">
        <v>4</v>
      </c>
      <c r="J30">
        <v>5</v>
      </c>
      <c r="K30">
        <v>5.05</v>
      </c>
      <c r="L30">
        <v>5</v>
      </c>
      <c r="M30">
        <v>6</v>
      </c>
      <c r="N30">
        <v>4.8</v>
      </c>
      <c r="O30">
        <v>3.8</v>
      </c>
      <c r="P30">
        <v>1.2</v>
      </c>
      <c r="Q30">
        <v>6</v>
      </c>
    </row>
    <row r="31" spans="1:17" x14ac:dyDescent="0.3">
      <c r="A31" t="s">
        <v>102</v>
      </c>
      <c r="B31" t="s">
        <v>23</v>
      </c>
      <c r="C31">
        <v>11433</v>
      </c>
      <c r="D31">
        <v>193781</v>
      </c>
      <c r="E31">
        <v>0.92</v>
      </c>
      <c r="F31">
        <v>1</v>
      </c>
      <c r="G31">
        <v>2</v>
      </c>
      <c r="H31">
        <v>2</v>
      </c>
      <c r="I31">
        <v>2</v>
      </c>
      <c r="J31">
        <v>2</v>
      </c>
      <c r="K31">
        <v>2.92</v>
      </c>
      <c r="L31">
        <v>3</v>
      </c>
      <c r="M31">
        <v>4</v>
      </c>
      <c r="N31">
        <v>3.7</v>
      </c>
      <c r="O31">
        <v>2.7</v>
      </c>
      <c r="P31">
        <v>0.6</v>
      </c>
      <c r="Q31">
        <v>4.3</v>
      </c>
    </row>
    <row r="32" spans="1:17" x14ac:dyDescent="0.3">
      <c r="A32" t="s">
        <v>98</v>
      </c>
      <c r="B32" t="s">
        <v>23</v>
      </c>
      <c r="C32">
        <v>131413</v>
      </c>
      <c r="D32">
        <v>519782</v>
      </c>
      <c r="E32">
        <v>0.73</v>
      </c>
      <c r="F32">
        <v>1</v>
      </c>
      <c r="G32">
        <v>2</v>
      </c>
      <c r="H32">
        <v>4.2</v>
      </c>
      <c r="I32">
        <v>4</v>
      </c>
      <c r="J32">
        <v>5</v>
      </c>
      <c r="K32">
        <v>4.93</v>
      </c>
      <c r="L32">
        <v>5</v>
      </c>
      <c r="M32">
        <v>6</v>
      </c>
      <c r="N32">
        <v>5.7</v>
      </c>
      <c r="O32">
        <v>4.7</v>
      </c>
      <c r="P32">
        <v>0.7</v>
      </c>
      <c r="Q32">
        <v>6.4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CFR_by_Month</vt:lpstr>
      <vt:lpstr>CFR_by_Month_DC</vt:lpstr>
      <vt:lpstr>RCCP_by_Month</vt:lpstr>
      <vt:lpstr>RCCP_by_Month_DC</vt:lpstr>
      <vt:lpstr>MonthEnd_Inv_Network</vt:lpstr>
      <vt:lpstr>MonthEnd_Inv_by_DC</vt:lpstr>
      <vt:lpstr>Lane_LeadTime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2026-05-13T08:00:54Z</dcterms:created>
  <dcterms:modified xsi:type="dcterms:W3CDTF">2026-05-18T03:28:45Z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2026-05-14T05:39:04Z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e6b98f3f-ac62-4700-b473-7207d676f1dc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