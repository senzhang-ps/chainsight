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-22.04\home\zhangs37\ai_chainsight\workspace\fem-cs-test\scenarios\baseline-fem-hpfd-network-0386\results\"/>
    </mc:Choice>
  </mc:AlternateContent>
  <xr:revisionPtr revIDLastSave="0" documentId="13_ncr:1_{056AF648-5EE9-4B3D-BA73-D0568E434CB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onthEndDFC_by_Loc" sheetId="1" r:id="rId1"/>
    <sheet name="Sheet1" sheetId="3" r:id="rId2"/>
    <sheet name="MonthEndDFC_by_Mat" sheetId="2" r:id="rId3"/>
  </sheets>
  <calcPr calcId="0"/>
  <pivotCaches>
    <pivotCache cacheId="10" r:id="rId4"/>
  </pivotCaches>
</workbook>
</file>

<file path=xl/sharedStrings.xml><?xml version="1.0" encoding="utf-8"?>
<sst xmlns="http://schemas.openxmlformats.org/spreadsheetml/2006/main" count="161" uniqueCount="43">
  <si>
    <t>month</t>
  </si>
  <si>
    <t>location</t>
  </si>
  <si>
    <t>month_end_date</t>
  </si>
  <si>
    <t>month_end_inventory_qty</t>
  </si>
  <si>
    <t>future_4w_avg_daily_fcst_qty</t>
  </si>
  <si>
    <t>dfc_days</t>
  </si>
  <si>
    <t>A668</t>
  </si>
  <si>
    <t>A672</t>
  </si>
  <si>
    <t>A673</t>
  </si>
  <si>
    <t>A680</t>
  </si>
  <si>
    <t>A715</t>
  </si>
  <si>
    <t>A716</t>
  </si>
  <si>
    <t>C810</t>
  </si>
  <si>
    <t>C816</t>
  </si>
  <si>
    <t>material</t>
  </si>
  <si>
    <t>80728859</t>
  </si>
  <si>
    <t>80728861</t>
  </si>
  <si>
    <t>80799571</t>
  </si>
  <si>
    <t>80799573</t>
  </si>
  <si>
    <t>80799574</t>
  </si>
  <si>
    <t>80799575</t>
  </si>
  <si>
    <t>80799576</t>
  </si>
  <si>
    <t>80799577</t>
  </si>
  <si>
    <t>80804391</t>
  </si>
  <si>
    <t>80856029</t>
  </si>
  <si>
    <t>80858047</t>
  </si>
  <si>
    <t>80858048</t>
  </si>
  <si>
    <t>80878361</t>
  </si>
  <si>
    <t>80878362</t>
  </si>
  <si>
    <t>80878365</t>
  </si>
  <si>
    <t>80878369</t>
  </si>
  <si>
    <t>80878370</t>
  </si>
  <si>
    <t>82279467</t>
  </si>
  <si>
    <t>82279471</t>
  </si>
  <si>
    <t>82279474</t>
  </si>
  <si>
    <t>82279476</t>
  </si>
  <si>
    <t>82279491</t>
  </si>
  <si>
    <t>Row Labels</t>
  </si>
  <si>
    <t>Grand Total</t>
  </si>
  <si>
    <t>Feb</t>
  </si>
  <si>
    <t>Mar</t>
  </si>
  <si>
    <t>Column Labels</t>
  </si>
  <si>
    <t>Average of dfc_days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</si>
</sst>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65" formatCode="0.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ang, Sen" refreshedDate="46177.743816319446" createdVersion="8" refreshedVersion="8" minRefreshableVersion="3" recordCount="89" xr:uid="{E5442A9B-2505-45EB-93CB-ECA1B477476F}">
  <cacheSource type="worksheet">
    <worksheetSource ref="A1:F1048576" sheet="MonthEndDFC_by_Mat"/>
  </cacheSource>
  <cacheFields count="8">
    <cacheField name="month" numFmtId="0">
      <sharedItems containsNonDate="0" containsDate="1" containsString="0" containsBlank="1" minDate="2026-02-01T00:00:00" maxDate="2026-05-02T00:00:00" count="5">
        <d v="2026-02-01T00:00:00"/>
        <d v="2026-03-01T00:00:00"/>
        <d v="2026-04-01T00:00:00"/>
        <d v="2026-05-01T00:00:00"/>
        <m/>
      </sharedItems>
      <fieldGroup par="7"/>
    </cacheField>
    <cacheField name="material" numFmtId="0">
      <sharedItems containsBlank="1" count="23">
        <s v="80728859"/>
        <s v="80728861"/>
        <s v="80799571"/>
        <s v="80799573"/>
        <s v="80799574"/>
        <s v="80799575"/>
        <s v="80799576"/>
        <s v="80799577"/>
        <s v="80804391"/>
        <s v="80856029"/>
        <s v="80858047"/>
        <s v="80858048"/>
        <s v="80878361"/>
        <s v="80878362"/>
        <s v="80878365"/>
        <s v="80878369"/>
        <s v="80878370"/>
        <s v="82279467"/>
        <s v="82279471"/>
        <s v="82279474"/>
        <s v="82279476"/>
        <s v="82279491"/>
        <m/>
      </sharedItems>
    </cacheField>
    <cacheField name="month_end_date" numFmtId="0">
      <sharedItems containsNonDate="0" containsDate="1" containsString="0" containsBlank="1" minDate="2026-02-28T00:00:00" maxDate="2026-05-04T00:00:00"/>
    </cacheField>
    <cacheField name="month_end_inventory_qty" numFmtId="0">
      <sharedItems containsString="0" containsBlank="1" containsNumber="1" containsInteger="1" minValue="267" maxValue="31094"/>
    </cacheField>
    <cacheField name="future_4w_avg_daily_fcst_qty" numFmtId="0">
      <sharedItems containsString="0" containsBlank="1" containsNumber="1" minValue="3" maxValue="1763.428571428572"/>
    </cacheField>
    <cacheField name="dfc_days" numFmtId="1">
      <sharedItems containsString="0" containsBlank="1" containsNumber="1" minValue="2.9856230031948878" maxValue="285.33333333333331"/>
    </cacheField>
    <cacheField name="Days (month)" numFmtId="0" databaseField="0">
      <fieldGroup base="0">
        <rangePr groupBy="days" startDate="2026-02-01T00:00:00" endDate="2026-05-02T00:00:00"/>
        <groupItems count="368">
          <s v="&lt;2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/2026"/>
        </groupItems>
      </fieldGroup>
    </cacheField>
    <cacheField name="Months (month)" numFmtId="0" databaseField="0">
      <fieldGroup base="0">
        <rangePr groupBy="months" startDate="2026-02-01T00:00:00" endDate="2026-05-02T00:00:00"/>
        <groupItems count="14">
          <s v="&lt;2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x v="0"/>
    <d v="2026-02-28T00:00:00"/>
    <n v="2106"/>
    <n v="36.392857142857139"/>
    <n v="57.868498527968598"/>
  </r>
  <r>
    <x v="0"/>
    <x v="1"/>
    <d v="2026-02-28T00:00:00"/>
    <n v="4945"/>
    <n v="30.464285714285719"/>
    <n v="162.32121922626021"/>
  </r>
  <r>
    <x v="0"/>
    <x v="2"/>
    <d v="2026-02-28T00:00:00"/>
    <n v="3074"/>
    <n v="141.64285714285711"/>
    <n v="21.70247100353"/>
  </r>
  <r>
    <x v="0"/>
    <x v="3"/>
    <d v="2026-02-28T00:00:00"/>
    <n v="7159"/>
    <n v="144.17857142857139"/>
    <n v="49.653703244983902"/>
  </r>
  <r>
    <x v="0"/>
    <x v="4"/>
    <d v="2026-02-28T00:00:00"/>
    <n v="31094"/>
    <n v="1763.428571428572"/>
    <n v="17.63269604666235"/>
  </r>
  <r>
    <x v="0"/>
    <x v="5"/>
    <d v="2026-02-28T00:00:00"/>
    <n v="6880"/>
    <n v="270.10714285714278"/>
    <n v="25.471373793468199"/>
  </r>
  <r>
    <x v="0"/>
    <x v="6"/>
    <d v="2026-02-28T00:00:00"/>
    <n v="7941"/>
    <n v="435.64285714285722"/>
    <n v="18.22823413674373"/>
  </r>
  <r>
    <x v="0"/>
    <x v="7"/>
    <d v="2026-02-28T00:00:00"/>
    <n v="5875"/>
    <n v="247.10714285714289"/>
    <n v="23.775112010406129"/>
  </r>
  <r>
    <x v="0"/>
    <x v="8"/>
    <d v="2026-02-28T00:00:00"/>
    <n v="4209"/>
    <n v="123.03571428571431"/>
    <n v="34.209579100145127"/>
  </r>
  <r>
    <x v="0"/>
    <x v="9"/>
    <d v="2026-02-28T00:00:00"/>
    <n v="7361"/>
    <n v="291.53571428571428"/>
    <n v="25.2490505941443"/>
  </r>
  <r>
    <x v="0"/>
    <x v="10"/>
    <d v="2026-02-28T00:00:00"/>
    <n v="6673"/>
    <n v="183.57142857142861"/>
    <n v="36.35097276264591"/>
  </r>
  <r>
    <x v="0"/>
    <x v="11"/>
    <d v="2026-02-28T00:00:00"/>
    <n v="4523"/>
    <n v="214.1428571428572"/>
    <n v="21.121414276184119"/>
  </r>
  <r>
    <x v="0"/>
    <x v="12"/>
    <d v="2026-02-28T00:00:00"/>
    <n v="5207"/>
    <n v="346.78571428571428"/>
    <n v="15.01503604531411"/>
  </r>
  <r>
    <x v="0"/>
    <x v="13"/>
    <d v="2026-02-28T00:00:00"/>
    <n v="850"/>
    <n v="39.928571428571431"/>
    <n v="21.288014311270121"/>
  </r>
  <r>
    <x v="0"/>
    <x v="14"/>
    <d v="2026-02-28T00:00:00"/>
    <n v="8520"/>
    <n v="419.53571428571428"/>
    <n v="20.308163786498682"/>
  </r>
  <r>
    <x v="0"/>
    <x v="15"/>
    <d v="2026-02-28T00:00:00"/>
    <n v="11050"/>
    <n v="627.53571428571422"/>
    <n v="17.608559558363211"/>
  </r>
  <r>
    <x v="0"/>
    <x v="16"/>
    <d v="2026-02-28T00:00:00"/>
    <n v="2402"/>
    <n v="138.75"/>
    <n v="17.311711711711709"/>
  </r>
  <r>
    <x v="0"/>
    <x v="17"/>
    <d v="2026-02-28T00:00:00"/>
    <n v="2510"/>
    <n v="64.357142857142861"/>
    <n v="39.001109877913429"/>
  </r>
  <r>
    <x v="0"/>
    <x v="18"/>
    <d v="2026-02-28T00:00:00"/>
    <n v="2006"/>
    <n v="22.5"/>
    <n v="89.155555555555551"/>
  </r>
  <r>
    <x v="0"/>
    <x v="19"/>
    <d v="2026-02-28T00:00:00"/>
    <n v="4848"/>
    <n v="64.500000000000014"/>
    <n v="75.162790697674396"/>
  </r>
  <r>
    <x v="0"/>
    <x v="20"/>
    <d v="2026-02-28T00:00:00"/>
    <n v="2357"/>
    <n v="31.107142857142851"/>
    <n v="75.77037887485649"/>
  </r>
  <r>
    <x v="0"/>
    <x v="21"/>
    <d v="2026-02-28T00:00:00"/>
    <n v="1220"/>
    <n v="15"/>
    <n v="81.333333333333329"/>
  </r>
  <r>
    <x v="1"/>
    <x v="0"/>
    <d v="2026-03-31T00:00:00"/>
    <n v="1327"/>
    <n v="22.464285714285719"/>
    <n v="59.071542130365657"/>
  </r>
  <r>
    <x v="1"/>
    <x v="1"/>
    <d v="2026-03-31T00:00:00"/>
    <n v="4371"/>
    <n v="16.071428571428569"/>
    <n v="271.9733333333333"/>
  </r>
  <r>
    <x v="1"/>
    <x v="2"/>
    <d v="2026-03-31T00:00:00"/>
    <n v="2211"/>
    <n v="62.000000000000007"/>
    <n v="35.661290322580641"/>
  </r>
  <r>
    <x v="1"/>
    <x v="3"/>
    <d v="2026-03-31T00:00:00"/>
    <n v="3885"/>
    <n v="41.214285714285722"/>
    <n v="94.263431542461007"/>
  </r>
  <r>
    <x v="1"/>
    <x v="4"/>
    <d v="2026-03-31T00:00:00"/>
    <n v="15040"/>
    <n v="348.60714285714289"/>
    <n v="43.143120581907588"/>
  </r>
  <r>
    <x v="1"/>
    <x v="5"/>
    <d v="2026-03-31T00:00:00"/>
    <n v="4400"/>
    <n v="147.5"/>
    <n v="29.83050847457627"/>
  </r>
  <r>
    <x v="1"/>
    <x v="6"/>
    <d v="2026-03-31T00:00:00"/>
    <n v="5171"/>
    <n v="182.75"/>
    <n v="28.295485636114911"/>
  </r>
  <r>
    <x v="1"/>
    <x v="7"/>
    <d v="2026-03-31T00:00:00"/>
    <n v="3428"/>
    <n v="80.392857142857139"/>
    <n v="42.640604175921823"/>
  </r>
  <r>
    <x v="1"/>
    <x v="8"/>
    <d v="2026-03-31T00:00:00"/>
    <n v="2828"/>
    <n v="42.214285714285708"/>
    <n v="66.99153976311338"/>
  </r>
  <r>
    <x v="1"/>
    <x v="9"/>
    <d v="2026-03-31T00:00:00"/>
    <n v="3052"/>
    <n v="151.17857142857139"/>
    <n v="20.188046302858499"/>
  </r>
  <r>
    <x v="1"/>
    <x v="10"/>
    <d v="2026-03-31T00:00:00"/>
    <n v="5369"/>
    <n v="48.392857142857153"/>
    <n v="110.9461254612546"/>
  </r>
  <r>
    <x v="1"/>
    <x v="11"/>
    <d v="2026-03-31T00:00:00"/>
    <n v="2517"/>
    <n v="77.607142857142861"/>
    <n v="32.432581684307408"/>
  </r>
  <r>
    <x v="1"/>
    <x v="12"/>
    <d v="2026-03-31T00:00:00"/>
    <n v="3220"/>
    <n v="159.67857142857139"/>
    <n v="20.165511071348689"/>
  </r>
  <r>
    <x v="1"/>
    <x v="13"/>
    <d v="2026-03-31T00:00:00"/>
    <n v="1030"/>
    <n v="6.75"/>
    <n v="152.59259259259261"/>
  </r>
  <r>
    <x v="1"/>
    <x v="14"/>
    <d v="2026-03-31T00:00:00"/>
    <n v="4666"/>
    <n v="165.64285714285711"/>
    <n v="28.169038378611472"/>
  </r>
  <r>
    <x v="1"/>
    <x v="15"/>
    <d v="2026-03-31T00:00:00"/>
    <n v="4972"/>
    <n v="171.3571428571428"/>
    <n v="29.015423092955398"/>
  </r>
  <r>
    <x v="1"/>
    <x v="16"/>
    <d v="2026-03-31T00:00:00"/>
    <n v="1349"/>
    <n v="45.892857142857139"/>
    <n v="29.394552529182882"/>
  </r>
  <r>
    <x v="1"/>
    <x v="17"/>
    <d v="2026-03-31T00:00:00"/>
    <n v="924"/>
    <n v="37.464285714285722"/>
    <n v="24.66348903717827"/>
  </r>
  <r>
    <x v="1"/>
    <x v="18"/>
    <d v="2026-03-31T00:00:00"/>
    <n v="1514"/>
    <n v="14.714285714285721"/>
    <n v="102.8932038834951"/>
  </r>
  <r>
    <x v="1"/>
    <x v="19"/>
    <d v="2026-03-31T00:00:00"/>
    <n v="2910"/>
    <n v="49.857142857142861"/>
    <n v="58.366762177650422"/>
  </r>
  <r>
    <x v="1"/>
    <x v="20"/>
    <d v="2026-03-31T00:00:00"/>
    <n v="1725"/>
    <n v="13.5"/>
    <n v="127.7777777777778"/>
  </r>
  <r>
    <x v="1"/>
    <x v="21"/>
    <d v="2026-03-31T00:00:00"/>
    <n v="807"/>
    <n v="9.6428571428571441"/>
    <n v="83.688888888888883"/>
  </r>
  <r>
    <x v="2"/>
    <x v="0"/>
    <d v="2026-04-30T00:00:00"/>
    <n v="711"/>
    <n v="13.857142857142859"/>
    <n v="51.309278350515463"/>
  </r>
  <r>
    <x v="2"/>
    <x v="1"/>
    <d v="2026-04-30T00:00:00"/>
    <n v="3083"/>
    <n v="10.857142857142859"/>
    <n v="283.96052631578948"/>
  </r>
  <r>
    <x v="2"/>
    <x v="2"/>
    <d v="2026-04-30T00:00:00"/>
    <n v="646"/>
    <n v="31.142857142857139"/>
    <n v="20.74311926605505"/>
  </r>
  <r>
    <x v="2"/>
    <x v="3"/>
    <d v="2026-04-30T00:00:00"/>
    <n v="2728"/>
    <n v="34.142857142857153"/>
    <n v="79.899581589958146"/>
  </r>
  <r>
    <x v="2"/>
    <x v="4"/>
    <d v="2026-04-30T00:00:00"/>
    <n v="5069"/>
    <n v="244.42857142857139"/>
    <n v="20.738164815897139"/>
  </r>
  <r>
    <x v="2"/>
    <x v="5"/>
    <d v="2026-04-30T00:00:00"/>
    <n v="1390"/>
    <n v="95.285714285714292"/>
    <n v="14.587706146926539"/>
  </r>
  <r>
    <x v="2"/>
    <x v="6"/>
    <d v="2026-04-30T00:00:00"/>
    <n v="1342"/>
    <n v="87.285714285714292"/>
    <n v="15.37479541734861"/>
  </r>
  <r>
    <x v="2"/>
    <x v="7"/>
    <d v="2026-04-30T00:00:00"/>
    <n v="1188"/>
    <n v="70.428571428571431"/>
    <n v="16.86815415821501"/>
  </r>
  <r>
    <x v="2"/>
    <x v="8"/>
    <d v="2026-04-30T00:00:00"/>
    <n v="1420"/>
    <n v="22.714285714285719"/>
    <n v="62.515723270440247"/>
  </r>
  <r>
    <x v="2"/>
    <x v="9"/>
    <d v="2026-04-30T00:00:00"/>
    <n v="1470"/>
    <n v="82.285714285714292"/>
    <n v="17.864583333333329"/>
  </r>
  <r>
    <x v="2"/>
    <x v="10"/>
    <d v="2026-04-30T00:00:00"/>
    <n v="3870"/>
    <n v="28.857142857142861"/>
    <n v="134.1089108910891"/>
  </r>
  <r>
    <x v="2"/>
    <x v="11"/>
    <d v="2026-04-30T00:00:00"/>
    <n v="941"/>
    <n v="45.285714285714278"/>
    <n v="20.779179810725552"/>
  </r>
  <r>
    <x v="2"/>
    <x v="12"/>
    <d v="2026-04-30T00:00:00"/>
    <n v="459"/>
    <n v="89.428571428571431"/>
    <n v="5.1325878594249197"/>
  </r>
  <r>
    <x v="2"/>
    <x v="13"/>
    <d v="2026-04-30T00:00:00"/>
    <n v="856"/>
    <n v="3"/>
    <n v="285.33333333333331"/>
  </r>
  <r>
    <x v="2"/>
    <x v="14"/>
    <d v="2026-04-30T00:00:00"/>
    <n v="1070"/>
    <n v="98"/>
    <n v="10.91836734693878"/>
  </r>
  <r>
    <x v="2"/>
    <x v="15"/>
    <d v="2026-04-30T00:00:00"/>
    <n v="1760"/>
    <n v="90.714285714285708"/>
    <n v="19.401574803149611"/>
  </r>
  <r>
    <x v="2"/>
    <x v="16"/>
    <d v="2026-04-30T00:00:00"/>
    <n v="722"/>
    <n v="33"/>
    <n v="21.878787878787879"/>
  </r>
  <r>
    <x v="2"/>
    <x v="17"/>
    <d v="2026-04-30T00:00:00"/>
    <n v="515"/>
    <n v="18.142857142857139"/>
    <n v="28.385826771653541"/>
  </r>
  <r>
    <x v="2"/>
    <x v="18"/>
    <d v="2026-04-30T00:00:00"/>
    <n v="1195"/>
    <n v="8.8571428571428577"/>
    <n v="134.91935483870969"/>
  </r>
  <r>
    <x v="2"/>
    <x v="19"/>
    <d v="2026-04-30T00:00:00"/>
    <n v="1713"/>
    <n v="24.285714285714281"/>
    <n v="70.535294117647055"/>
  </r>
  <r>
    <x v="2"/>
    <x v="20"/>
    <d v="2026-04-30T00:00:00"/>
    <n v="1436"/>
    <n v="8.2857142857142865"/>
    <n v="173.31034482758619"/>
  </r>
  <r>
    <x v="2"/>
    <x v="21"/>
    <d v="2026-04-30T00:00:00"/>
    <n v="527"/>
    <n v="4.2857142857142856"/>
    <n v="122.9666666666667"/>
  </r>
  <r>
    <x v="3"/>
    <x v="0"/>
    <d v="2026-05-03T00:00:00"/>
    <n v="678"/>
    <n v="13.857142857142859"/>
    <n v="48.927835051546388"/>
  </r>
  <r>
    <x v="3"/>
    <x v="1"/>
    <d v="2026-05-03T00:00:00"/>
    <n v="3056"/>
    <n v="10.857142857142859"/>
    <n v="281.4736842105263"/>
  </r>
  <r>
    <x v="3"/>
    <x v="2"/>
    <d v="2026-05-03T00:00:00"/>
    <n v="558"/>
    <n v="31.142857142857139"/>
    <n v="17.917431192660551"/>
  </r>
  <r>
    <x v="3"/>
    <x v="3"/>
    <d v="2026-05-03T00:00:00"/>
    <n v="2635"/>
    <n v="34.142857142857153"/>
    <n v="77.175732217573213"/>
  </r>
  <r>
    <x v="3"/>
    <x v="4"/>
    <d v="2026-05-03T00:00:00"/>
    <n v="4296"/>
    <n v="244.42857142857139"/>
    <n v="17.575686732904739"/>
  </r>
  <r>
    <x v="3"/>
    <x v="5"/>
    <d v="2026-05-03T00:00:00"/>
    <n v="1143"/>
    <n v="95.285714285714292"/>
    <n v="11.99550224887556"/>
  </r>
  <r>
    <x v="3"/>
    <x v="6"/>
    <d v="2026-05-03T00:00:00"/>
    <n v="1066"/>
    <n v="87.285714285714292"/>
    <n v="12.212765957446811"/>
  </r>
  <r>
    <x v="3"/>
    <x v="7"/>
    <d v="2026-05-03T00:00:00"/>
    <n v="992"/>
    <n v="70.428571428571431"/>
    <n v="14.085192697768759"/>
  </r>
  <r>
    <x v="3"/>
    <x v="8"/>
    <d v="2026-05-03T00:00:00"/>
    <n v="1377"/>
    <n v="22.714285714285719"/>
    <n v="60.622641509433961"/>
  </r>
  <r>
    <x v="3"/>
    <x v="9"/>
    <d v="2026-05-03T00:00:00"/>
    <n v="1227"/>
    <n v="82.285714285714292"/>
    <n v="14.91145833333333"/>
  </r>
  <r>
    <x v="3"/>
    <x v="10"/>
    <d v="2026-05-03T00:00:00"/>
    <n v="3825"/>
    <n v="28.857142857142861"/>
    <n v="132.54950495049499"/>
  </r>
  <r>
    <x v="3"/>
    <x v="11"/>
    <d v="2026-05-03T00:00:00"/>
    <n v="846"/>
    <n v="45.285714285714278"/>
    <n v="18.681388012618299"/>
  </r>
  <r>
    <x v="3"/>
    <x v="12"/>
    <d v="2026-05-03T00:00:00"/>
    <n v="267"/>
    <n v="89.428571428571431"/>
    <n v="2.9856230031948878"/>
  </r>
  <r>
    <x v="3"/>
    <x v="13"/>
    <d v="2026-05-03T00:00:00"/>
    <n v="854"/>
    <n v="3"/>
    <n v="284.66666666666669"/>
  </r>
  <r>
    <x v="3"/>
    <x v="14"/>
    <d v="2026-05-03T00:00:00"/>
    <n v="765"/>
    <n v="98"/>
    <n v="7.8061224489795924"/>
  </r>
  <r>
    <x v="3"/>
    <x v="15"/>
    <d v="2026-05-03T00:00:00"/>
    <n v="1476"/>
    <n v="90.714285714285708"/>
    <n v="16.270866141732281"/>
  </r>
  <r>
    <x v="3"/>
    <x v="16"/>
    <d v="2026-05-03T00:00:00"/>
    <n v="648"/>
    <n v="33"/>
    <n v="19.63636363636364"/>
  </r>
  <r>
    <x v="3"/>
    <x v="17"/>
    <d v="2026-05-03T00:00:00"/>
    <n v="466"/>
    <n v="18.142857142857139"/>
    <n v="25.685039370078741"/>
  </r>
  <r>
    <x v="3"/>
    <x v="18"/>
    <d v="2026-05-03T00:00:00"/>
    <n v="1174"/>
    <n v="8.8571428571428577"/>
    <n v="132.54838709677421"/>
  </r>
  <r>
    <x v="3"/>
    <x v="19"/>
    <d v="2026-05-03T00:00:00"/>
    <n v="1646"/>
    <n v="24.285714285714281"/>
    <n v="67.776470588235298"/>
  </r>
  <r>
    <x v="3"/>
    <x v="20"/>
    <d v="2026-05-03T00:00:00"/>
    <n v="1417"/>
    <n v="8.2857142857142865"/>
    <n v="171.01724137931029"/>
  </r>
  <r>
    <x v="3"/>
    <x v="21"/>
    <d v="2026-05-03T00:00:00"/>
    <n v="518"/>
    <n v="4.2857142857142856"/>
    <n v="120.8666666666667"/>
  </r>
  <r>
    <x v="4"/>
    <x v="2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C8A5C-4E48-4C22-8D19-7166B0156E89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7" firstHeaderRow="1" firstDataRow="2" firstDataCol="1"/>
  <pivotFields count="8"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h="1" sd="0" x="0"/>
        <item h="1" sd="0" x="1"/>
        <item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1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7"/>
  </colFields>
  <colItems count="3">
    <i>
      <x v="2"/>
    </i>
    <i>
      <x v="3"/>
    </i>
    <i t="grand">
      <x/>
    </i>
  </colItems>
  <dataFields count="1">
    <dataField name="Average of dfc_days" fld="5" subtotal="average" baseField="1" baseItem="0"/>
  </dataFields>
  <formats count="2">
    <format dxfId="17">
      <pivotArea outline="0" collapsedLevelsAreSubtotals="1" fieldPosition="0">
        <references count="1">
          <reference field="7" count="4" selected="0">
            <x v="2"/>
            <x v="3"/>
            <x v="4"/>
            <x v="5"/>
          </reference>
        </references>
      </pivotArea>
    </format>
    <format dxfId="15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N21" sqref="N21"/>
    </sheetView>
  </sheetViews>
  <sheetFormatPr defaultRowHeight="14.4" x14ac:dyDescent="0.3"/>
  <cols>
    <col min="1" max="1" width="10.33203125" bestFit="1" customWidth="1"/>
    <col min="3" max="3" width="15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46054</v>
      </c>
      <c r="B2" t="s">
        <v>6</v>
      </c>
      <c r="C2" s="2">
        <v>46081</v>
      </c>
      <c r="D2">
        <v>7763</v>
      </c>
      <c r="E2">
        <v>306.96428571428572</v>
      </c>
      <c r="F2">
        <v>25.28958696916812</v>
      </c>
    </row>
    <row r="3" spans="1:6" x14ac:dyDescent="0.3">
      <c r="A3" s="2">
        <v>46054</v>
      </c>
      <c r="B3" t="s">
        <v>7</v>
      </c>
      <c r="C3" s="2">
        <v>46081</v>
      </c>
      <c r="D3">
        <v>28975</v>
      </c>
      <c r="E3">
        <v>1179.0714285714289</v>
      </c>
      <c r="F3">
        <v>24.574422972072451</v>
      </c>
    </row>
    <row r="4" spans="1:6" x14ac:dyDescent="0.3">
      <c r="A4" s="2">
        <v>46054</v>
      </c>
      <c r="B4" t="s">
        <v>8</v>
      </c>
      <c r="C4" s="2">
        <v>46081</v>
      </c>
      <c r="D4">
        <v>53283</v>
      </c>
      <c r="E4">
        <v>2311.4642857142858</v>
      </c>
      <c r="F4">
        <v>23.051621575686411</v>
      </c>
    </row>
    <row r="5" spans="1:6" x14ac:dyDescent="0.3">
      <c r="A5" s="2">
        <v>46054</v>
      </c>
      <c r="B5" t="s">
        <v>9</v>
      </c>
      <c r="C5" s="2">
        <v>46081</v>
      </c>
      <c r="D5">
        <v>9134</v>
      </c>
      <c r="E5">
        <v>299.53571428571428</v>
      </c>
      <c r="F5">
        <v>30.493859544533208</v>
      </c>
    </row>
    <row r="6" spans="1:6" x14ac:dyDescent="0.3">
      <c r="A6" s="2">
        <v>46054</v>
      </c>
      <c r="B6" t="s">
        <v>10</v>
      </c>
      <c r="C6" s="2">
        <v>46081</v>
      </c>
      <c r="D6">
        <v>4746</v>
      </c>
      <c r="E6">
        <v>171.53571428571431</v>
      </c>
      <c r="F6">
        <v>27.66770768269831</v>
      </c>
    </row>
    <row r="7" spans="1:6" x14ac:dyDescent="0.3">
      <c r="A7" s="2">
        <v>46054</v>
      </c>
      <c r="B7" t="s">
        <v>11</v>
      </c>
      <c r="C7" s="2">
        <v>46081</v>
      </c>
      <c r="D7">
        <v>3871</v>
      </c>
      <c r="E7">
        <v>159.07142857142861</v>
      </c>
      <c r="F7">
        <v>24.334979793444099</v>
      </c>
    </row>
    <row r="8" spans="1:6" x14ac:dyDescent="0.3">
      <c r="A8" s="2">
        <v>46054</v>
      </c>
      <c r="B8" t="s">
        <v>12</v>
      </c>
      <c r="C8" s="2">
        <v>46081</v>
      </c>
      <c r="D8">
        <v>6806</v>
      </c>
      <c r="E8">
        <v>417.64285714285711</v>
      </c>
      <c r="F8">
        <v>16.29622028390628</v>
      </c>
    </row>
    <row r="9" spans="1:6" x14ac:dyDescent="0.3">
      <c r="A9" s="2">
        <v>46054</v>
      </c>
      <c r="B9" t="s">
        <v>13</v>
      </c>
      <c r="C9" s="2">
        <v>46081</v>
      </c>
      <c r="D9">
        <v>18232</v>
      </c>
      <c r="E9">
        <v>805.96428571428578</v>
      </c>
      <c r="F9">
        <v>22.621349758496919</v>
      </c>
    </row>
    <row r="10" spans="1:6" x14ac:dyDescent="0.3">
      <c r="A10" s="2">
        <v>46082</v>
      </c>
      <c r="B10" t="s">
        <v>6</v>
      </c>
      <c r="C10" s="2">
        <v>46112</v>
      </c>
      <c r="D10">
        <v>4912</v>
      </c>
      <c r="E10">
        <v>97.642857142857139</v>
      </c>
      <c r="F10">
        <v>50.305779078273588</v>
      </c>
    </row>
    <row r="11" spans="1:6" x14ac:dyDescent="0.3">
      <c r="A11" s="2">
        <v>46082</v>
      </c>
      <c r="B11" t="s">
        <v>7</v>
      </c>
      <c r="C11" s="2">
        <v>46112</v>
      </c>
      <c r="D11">
        <v>17737</v>
      </c>
      <c r="E11">
        <v>378.42857142857139</v>
      </c>
      <c r="F11">
        <v>46.870139675349193</v>
      </c>
    </row>
    <row r="12" spans="1:6" x14ac:dyDescent="0.3">
      <c r="A12" s="2">
        <v>46082</v>
      </c>
      <c r="B12" t="s">
        <v>8</v>
      </c>
      <c r="C12" s="2">
        <v>46112</v>
      </c>
      <c r="D12">
        <v>28793</v>
      </c>
      <c r="E12">
        <v>788.32142857142856</v>
      </c>
      <c r="F12">
        <v>36.524441625515337</v>
      </c>
    </row>
    <row r="13" spans="1:6" x14ac:dyDescent="0.3">
      <c r="A13" s="2">
        <v>46082</v>
      </c>
      <c r="B13" t="s">
        <v>9</v>
      </c>
      <c r="C13" s="2">
        <v>46112</v>
      </c>
      <c r="D13">
        <v>5572</v>
      </c>
      <c r="E13">
        <v>100.1428571428571</v>
      </c>
      <c r="F13">
        <v>55.640513552068477</v>
      </c>
    </row>
    <row r="14" spans="1:6" x14ac:dyDescent="0.3">
      <c r="A14" s="2">
        <v>46082</v>
      </c>
      <c r="B14" t="s">
        <v>10</v>
      </c>
      <c r="C14" s="2">
        <v>46112</v>
      </c>
      <c r="D14">
        <v>3210</v>
      </c>
      <c r="E14">
        <v>58.821428571428569</v>
      </c>
      <c r="F14">
        <v>54.571948998178513</v>
      </c>
    </row>
    <row r="15" spans="1:6" x14ac:dyDescent="0.3">
      <c r="A15" s="2">
        <v>46082</v>
      </c>
      <c r="B15" t="s">
        <v>11</v>
      </c>
      <c r="C15" s="2">
        <v>46112</v>
      </c>
      <c r="D15">
        <v>2963</v>
      </c>
      <c r="E15">
        <v>51.392857142857153</v>
      </c>
      <c r="F15">
        <v>57.653926337734532</v>
      </c>
    </row>
    <row r="16" spans="1:6" x14ac:dyDescent="0.3">
      <c r="A16" s="2">
        <v>46082</v>
      </c>
      <c r="B16" t="s">
        <v>12</v>
      </c>
      <c r="C16" s="2">
        <v>46112</v>
      </c>
      <c r="D16">
        <v>3933</v>
      </c>
      <c r="E16">
        <v>139.17857142857139</v>
      </c>
      <c r="F16">
        <v>28.258660508083139</v>
      </c>
    </row>
    <row r="17" spans="1:6" x14ac:dyDescent="0.3">
      <c r="A17" s="2">
        <v>46082</v>
      </c>
      <c r="B17" t="s">
        <v>13</v>
      </c>
      <c r="C17" s="2">
        <v>46112</v>
      </c>
      <c r="D17">
        <v>9596</v>
      </c>
      <c r="E17">
        <v>280.96428571428572</v>
      </c>
      <c r="F17">
        <v>34.15380704207449</v>
      </c>
    </row>
    <row r="18" spans="1:6" x14ac:dyDescent="0.3">
      <c r="A18" s="2">
        <v>46113</v>
      </c>
      <c r="B18" t="s">
        <v>6</v>
      </c>
      <c r="C18" s="2">
        <v>46142</v>
      </c>
      <c r="D18">
        <v>3000</v>
      </c>
      <c r="E18">
        <v>59.571428571428569</v>
      </c>
      <c r="F18">
        <v>50.359712230215827</v>
      </c>
    </row>
    <row r="19" spans="1:6" x14ac:dyDescent="0.3">
      <c r="A19" s="2">
        <v>46113</v>
      </c>
      <c r="B19" t="s">
        <v>7</v>
      </c>
      <c r="C19" s="2">
        <v>46142</v>
      </c>
      <c r="D19">
        <v>8370</v>
      </c>
      <c r="E19">
        <v>230.85714285714289</v>
      </c>
      <c r="F19">
        <v>36.256188118811878</v>
      </c>
    </row>
    <row r="20" spans="1:6" x14ac:dyDescent="0.3">
      <c r="A20" s="2">
        <v>46113</v>
      </c>
      <c r="B20" t="s">
        <v>8</v>
      </c>
      <c r="C20" s="2">
        <v>46142</v>
      </c>
      <c r="D20">
        <v>9223</v>
      </c>
      <c r="E20">
        <v>476</v>
      </c>
      <c r="F20">
        <v>19.37605042016807</v>
      </c>
    </row>
    <row r="21" spans="1:6" x14ac:dyDescent="0.3">
      <c r="A21" s="2">
        <v>46113</v>
      </c>
      <c r="B21" t="s">
        <v>9</v>
      </c>
      <c r="C21" s="2">
        <v>46142</v>
      </c>
      <c r="D21">
        <v>3198</v>
      </c>
      <c r="E21">
        <v>58.714285714285722</v>
      </c>
      <c r="F21">
        <v>54.467153284671532</v>
      </c>
    </row>
    <row r="22" spans="1:6" x14ac:dyDescent="0.3">
      <c r="A22" s="2">
        <v>46113</v>
      </c>
      <c r="B22" t="s">
        <v>10</v>
      </c>
      <c r="C22" s="2">
        <v>46142</v>
      </c>
      <c r="D22">
        <v>2230</v>
      </c>
      <c r="E22">
        <v>35.857142857142847</v>
      </c>
      <c r="F22">
        <v>62.191235059760963</v>
      </c>
    </row>
    <row r="23" spans="1:6" x14ac:dyDescent="0.3">
      <c r="A23" s="2">
        <v>46113</v>
      </c>
      <c r="B23" t="s">
        <v>11</v>
      </c>
      <c r="C23" s="2">
        <v>46142</v>
      </c>
      <c r="D23">
        <v>2053</v>
      </c>
      <c r="E23">
        <v>31.142857142857139</v>
      </c>
      <c r="F23">
        <v>65.922018348623851</v>
      </c>
    </row>
    <row r="24" spans="1:6" x14ac:dyDescent="0.3">
      <c r="A24" s="2">
        <v>46113</v>
      </c>
      <c r="B24" t="s">
        <v>12</v>
      </c>
      <c r="C24" s="2">
        <v>46142</v>
      </c>
      <c r="D24">
        <v>1353</v>
      </c>
      <c r="E24">
        <v>85.142857142857139</v>
      </c>
      <c r="F24">
        <v>15.890939597315439</v>
      </c>
    </row>
    <row r="25" spans="1:6" x14ac:dyDescent="0.3">
      <c r="A25" s="2">
        <v>46113</v>
      </c>
      <c r="B25" t="s">
        <v>13</v>
      </c>
      <c r="C25" s="2">
        <v>46142</v>
      </c>
      <c r="D25">
        <v>4684</v>
      </c>
      <c r="E25">
        <v>167.28571428571431</v>
      </c>
      <c r="F25">
        <v>28</v>
      </c>
    </row>
    <row r="26" spans="1:6" x14ac:dyDescent="0.3">
      <c r="A26" s="2">
        <v>46143</v>
      </c>
      <c r="B26" t="s">
        <v>6</v>
      </c>
      <c r="C26" s="2">
        <v>46145</v>
      </c>
      <c r="D26">
        <v>2853</v>
      </c>
      <c r="E26">
        <v>59.571428571428569</v>
      </c>
      <c r="F26">
        <v>47.892086330935257</v>
      </c>
    </row>
    <row r="27" spans="1:6" x14ac:dyDescent="0.3">
      <c r="A27" s="2">
        <v>46143</v>
      </c>
      <c r="B27" t="s">
        <v>7</v>
      </c>
      <c r="C27" s="2">
        <v>46145</v>
      </c>
      <c r="D27">
        <v>7753</v>
      </c>
      <c r="E27">
        <v>230.85714285714289</v>
      </c>
      <c r="F27">
        <v>33.583539603960403</v>
      </c>
    </row>
    <row r="28" spans="1:6" x14ac:dyDescent="0.3">
      <c r="A28" s="2">
        <v>46143</v>
      </c>
      <c r="B28" t="s">
        <v>8</v>
      </c>
      <c r="C28" s="2">
        <v>46145</v>
      </c>
      <c r="D28">
        <v>7841</v>
      </c>
      <c r="E28">
        <v>476</v>
      </c>
      <c r="F28">
        <v>16.47268907563025</v>
      </c>
    </row>
    <row r="29" spans="1:6" x14ac:dyDescent="0.3">
      <c r="A29" s="2">
        <v>46143</v>
      </c>
      <c r="B29" t="s">
        <v>9</v>
      </c>
      <c r="C29" s="2">
        <v>46145</v>
      </c>
      <c r="D29">
        <v>3033</v>
      </c>
      <c r="E29">
        <v>58.714285714285722</v>
      </c>
      <c r="F29">
        <v>51.65693430656934</v>
      </c>
    </row>
    <row r="30" spans="1:6" x14ac:dyDescent="0.3">
      <c r="A30" s="2">
        <v>46143</v>
      </c>
      <c r="B30" t="s">
        <v>10</v>
      </c>
      <c r="C30" s="2">
        <v>46145</v>
      </c>
      <c r="D30">
        <v>2149</v>
      </c>
      <c r="E30">
        <v>35.857142857142847</v>
      </c>
      <c r="F30">
        <v>59.932270916334673</v>
      </c>
    </row>
    <row r="31" spans="1:6" x14ac:dyDescent="0.3">
      <c r="A31" s="2">
        <v>46143</v>
      </c>
      <c r="B31" t="s">
        <v>11</v>
      </c>
      <c r="C31" s="2">
        <v>46145</v>
      </c>
      <c r="D31">
        <v>1983</v>
      </c>
      <c r="E31">
        <v>31.142857142857139</v>
      </c>
      <c r="F31">
        <v>63.674311926605498</v>
      </c>
    </row>
    <row r="32" spans="1:6" x14ac:dyDescent="0.3">
      <c r="A32" s="2">
        <v>46143</v>
      </c>
      <c r="B32" t="s">
        <v>12</v>
      </c>
      <c r="C32" s="2">
        <v>46145</v>
      </c>
      <c r="D32">
        <v>1110</v>
      </c>
      <c r="E32">
        <v>85.142857142857139</v>
      </c>
      <c r="F32">
        <v>13.03691275167785</v>
      </c>
    </row>
    <row r="33" spans="1:6" x14ac:dyDescent="0.3">
      <c r="A33" s="2">
        <v>46143</v>
      </c>
      <c r="B33" t="s">
        <v>13</v>
      </c>
      <c r="C33" s="2">
        <v>46145</v>
      </c>
      <c r="D33">
        <v>4208</v>
      </c>
      <c r="E33">
        <v>167.28571428571431</v>
      </c>
      <c r="F33">
        <v>25.154568744662679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8E85-313C-424E-970D-7D64CA31364C}">
  <dimension ref="A3:D27"/>
  <sheetViews>
    <sheetView workbookViewId="0">
      <selection activeCell="A5" sqref="A5:A26"/>
    </sheetView>
  </sheetViews>
  <sheetFormatPr defaultRowHeight="14.4" x14ac:dyDescent="0.3"/>
  <cols>
    <col min="1" max="1" width="18.33203125" bestFit="1" customWidth="1"/>
    <col min="2" max="2" width="15.5546875" bestFit="1" customWidth="1"/>
    <col min="3" max="3" width="4.44140625" bestFit="1" customWidth="1"/>
    <col min="4" max="4" width="10.77734375" bestFit="1" customWidth="1"/>
    <col min="5" max="5" width="4" bestFit="1" customWidth="1"/>
    <col min="6" max="6" width="4.77734375" bestFit="1" customWidth="1"/>
    <col min="7" max="7" width="10.77734375" bestFit="1" customWidth="1"/>
  </cols>
  <sheetData>
    <row r="3" spans="1:4" x14ac:dyDescent="0.3">
      <c r="A3" s="5" t="s">
        <v>42</v>
      </c>
      <c r="B3" s="5" t="s">
        <v>41</v>
      </c>
    </row>
    <row r="4" spans="1:4" x14ac:dyDescent="0.3">
      <c r="A4" s="5" t="s">
        <v>37</v>
      </c>
      <c r="B4" t="s">
        <v>39</v>
      </c>
      <c r="C4" t="s">
        <v>40</v>
      </c>
      <c r="D4" t="s">
        <v>38</v>
      </c>
    </row>
    <row r="5" spans="1:4" x14ac:dyDescent="0.3">
      <c r="A5" s="6" t="s">
        <v>15</v>
      </c>
      <c r="B5" s="4">
        <v>57.868498527968598</v>
      </c>
      <c r="C5" s="4">
        <v>59.071542130365657</v>
      </c>
      <c r="D5" s="4">
        <v>58.470020329167127</v>
      </c>
    </row>
    <row r="6" spans="1:4" x14ac:dyDescent="0.3">
      <c r="A6" s="6" t="s">
        <v>16</v>
      </c>
      <c r="B6" s="4">
        <v>162.32121922626021</v>
      </c>
      <c r="C6" s="4">
        <v>271.9733333333333</v>
      </c>
      <c r="D6" s="4">
        <v>217.14727627979676</v>
      </c>
    </row>
    <row r="7" spans="1:4" x14ac:dyDescent="0.3">
      <c r="A7" s="6" t="s">
        <v>17</v>
      </c>
      <c r="B7" s="4">
        <v>21.70247100353</v>
      </c>
      <c r="C7" s="4">
        <v>35.661290322580641</v>
      </c>
      <c r="D7" s="4">
        <v>28.68188066305532</v>
      </c>
    </row>
    <row r="8" spans="1:4" x14ac:dyDescent="0.3">
      <c r="A8" s="6" t="s">
        <v>18</v>
      </c>
      <c r="B8" s="4">
        <v>49.653703244983902</v>
      </c>
      <c r="C8" s="4">
        <v>94.263431542461007</v>
      </c>
      <c r="D8" s="4">
        <v>71.958567393722461</v>
      </c>
    </row>
    <row r="9" spans="1:4" x14ac:dyDescent="0.3">
      <c r="A9" s="6" t="s">
        <v>19</v>
      </c>
      <c r="B9" s="4">
        <v>17.63269604666235</v>
      </c>
      <c r="C9" s="4">
        <v>43.143120581907588</v>
      </c>
      <c r="D9" s="4">
        <v>30.387908314284971</v>
      </c>
    </row>
    <row r="10" spans="1:4" x14ac:dyDescent="0.3">
      <c r="A10" s="6" t="s">
        <v>20</v>
      </c>
      <c r="B10" s="4">
        <v>25.471373793468199</v>
      </c>
      <c r="C10" s="4">
        <v>29.83050847457627</v>
      </c>
      <c r="D10" s="4">
        <v>27.650941134022233</v>
      </c>
    </row>
    <row r="11" spans="1:4" x14ac:dyDescent="0.3">
      <c r="A11" s="6" t="s">
        <v>21</v>
      </c>
      <c r="B11" s="4">
        <v>18.22823413674373</v>
      </c>
      <c r="C11" s="4">
        <v>28.295485636114911</v>
      </c>
      <c r="D11" s="4">
        <v>23.26185988642932</v>
      </c>
    </row>
    <row r="12" spans="1:4" x14ac:dyDescent="0.3">
      <c r="A12" s="6" t="s">
        <v>22</v>
      </c>
      <c r="B12" s="4">
        <v>23.775112010406129</v>
      </c>
      <c r="C12" s="4">
        <v>42.640604175921823</v>
      </c>
      <c r="D12" s="4">
        <v>33.207858093163978</v>
      </c>
    </row>
    <row r="13" spans="1:4" x14ac:dyDescent="0.3">
      <c r="A13" s="6" t="s">
        <v>23</v>
      </c>
      <c r="B13" s="4">
        <v>34.209579100145127</v>
      </c>
      <c r="C13" s="4">
        <v>66.99153976311338</v>
      </c>
      <c r="D13" s="4">
        <v>50.60055943162925</v>
      </c>
    </row>
    <row r="14" spans="1:4" x14ac:dyDescent="0.3">
      <c r="A14" s="6" t="s">
        <v>24</v>
      </c>
      <c r="B14" s="4">
        <v>25.2490505941443</v>
      </c>
      <c r="C14" s="4">
        <v>20.188046302858499</v>
      </c>
      <c r="D14" s="4">
        <v>22.718548448501402</v>
      </c>
    </row>
    <row r="15" spans="1:4" x14ac:dyDescent="0.3">
      <c r="A15" s="6" t="s">
        <v>25</v>
      </c>
      <c r="B15" s="4">
        <v>36.35097276264591</v>
      </c>
      <c r="C15" s="4">
        <v>110.9461254612546</v>
      </c>
      <c r="D15" s="4">
        <v>73.648549111950246</v>
      </c>
    </row>
    <row r="16" spans="1:4" x14ac:dyDescent="0.3">
      <c r="A16" s="6" t="s">
        <v>26</v>
      </c>
      <c r="B16" s="4">
        <v>21.121414276184119</v>
      </c>
      <c r="C16" s="4">
        <v>32.432581684307408</v>
      </c>
      <c r="D16" s="4">
        <v>26.776997980245763</v>
      </c>
    </row>
    <row r="17" spans="1:4" x14ac:dyDescent="0.3">
      <c r="A17" s="6" t="s">
        <v>27</v>
      </c>
      <c r="B17" s="4">
        <v>15.01503604531411</v>
      </c>
      <c r="C17" s="4">
        <v>20.165511071348689</v>
      </c>
      <c r="D17" s="4">
        <v>17.5902735583314</v>
      </c>
    </row>
    <row r="18" spans="1:4" x14ac:dyDescent="0.3">
      <c r="A18" s="6" t="s">
        <v>28</v>
      </c>
      <c r="B18" s="4">
        <v>21.288014311270121</v>
      </c>
      <c r="C18" s="4">
        <v>152.59259259259261</v>
      </c>
      <c r="D18" s="4">
        <v>86.940303451931371</v>
      </c>
    </row>
    <row r="19" spans="1:4" x14ac:dyDescent="0.3">
      <c r="A19" s="6" t="s">
        <v>29</v>
      </c>
      <c r="B19" s="4">
        <v>20.308163786498682</v>
      </c>
      <c r="C19" s="4">
        <v>28.169038378611472</v>
      </c>
      <c r="D19" s="4">
        <v>24.238601082555078</v>
      </c>
    </row>
    <row r="20" spans="1:4" x14ac:dyDescent="0.3">
      <c r="A20" s="6" t="s">
        <v>30</v>
      </c>
      <c r="B20" s="4">
        <v>17.608559558363211</v>
      </c>
      <c r="C20" s="4">
        <v>29.015423092955398</v>
      </c>
      <c r="D20" s="4">
        <v>23.311991325659307</v>
      </c>
    </row>
    <row r="21" spans="1:4" x14ac:dyDescent="0.3">
      <c r="A21" s="6" t="s">
        <v>31</v>
      </c>
      <c r="B21" s="4">
        <v>17.311711711711709</v>
      </c>
      <c r="C21" s="4">
        <v>29.394552529182882</v>
      </c>
      <c r="D21" s="4">
        <v>23.353132120447295</v>
      </c>
    </row>
    <row r="22" spans="1:4" x14ac:dyDescent="0.3">
      <c r="A22" s="6" t="s">
        <v>32</v>
      </c>
      <c r="B22" s="4">
        <v>39.001109877913429</v>
      </c>
      <c r="C22" s="4">
        <v>24.66348903717827</v>
      </c>
      <c r="D22" s="4">
        <v>31.832299457545851</v>
      </c>
    </row>
    <row r="23" spans="1:4" x14ac:dyDescent="0.3">
      <c r="A23" s="6" t="s">
        <v>33</v>
      </c>
      <c r="B23" s="4">
        <v>89.155555555555551</v>
      </c>
      <c r="C23" s="4">
        <v>102.8932038834951</v>
      </c>
      <c r="D23" s="4">
        <v>96.024379719525328</v>
      </c>
    </row>
    <row r="24" spans="1:4" x14ac:dyDescent="0.3">
      <c r="A24" s="6" t="s">
        <v>34</v>
      </c>
      <c r="B24" s="4">
        <v>75.162790697674396</v>
      </c>
      <c r="C24" s="4">
        <v>58.366762177650422</v>
      </c>
      <c r="D24" s="4">
        <v>66.764776437662405</v>
      </c>
    </row>
    <row r="25" spans="1:4" x14ac:dyDescent="0.3">
      <c r="A25" s="6" t="s">
        <v>35</v>
      </c>
      <c r="B25" s="4">
        <v>75.77037887485649</v>
      </c>
      <c r="C25" s="4">
        <v>127.7777777777778</v>
      </c>
      <c r="D25" s="4">
        <v>101.77407832631715</v>
      </c>
    </row>
    <row r="26" spans="1:4" x14ac:dyDescent="0.3">
      <c r="A26" s="6" t="s">
        <v>36</v>
      </c>
      <c r="B26" s="4">
        <v>81.333333333333329</v>
      </c>
      <c r="C26" s="4">
        <v>83.688888888888883</v>
      </c>
      <c r="D26" s="4">
        <v>82.511111111111106</v>
      </c>
    </row>
    <row r="27" spans="1:4" x14ac:dyDescent="0.3">
      <c r="A27" s="6" t="s">
        <v>38</v>
      </c>
      <c r="B27" s="4">
        <v>42.979044476165171</v>
      </c>
      <c r="C27" s="4">
        <v>67.825674947203481</v>
      </c>
      <c r="D27" s="4">
        <v>55.402359711684333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9"/>
  <sheetViews>
    <sheetView workbookViewId="0">
      <selection sqref="A1:F1048576"/>
    </sheetView>
  </sheetViews>
  <sheetFormatPr defaultRowHeight="14.4" x14ac:dyDescent="0.3"/>
  <cols>
    <col min="1" max="1" width="10.33203125" bestFit="1" customWidth="1"/>
    <col min="2" max="2" width="9" bestFit="1" customWidth="1"/>
    <col min="3" max="3" width="15.77734375" bestFit="1" customWidth="1"/>
    <col min="4" max="4" width="24.109375" bestFit="1" customWidth="1"/>
    <col min="5" max="5" width="26.88671875" bestFit="1" customWidth="1"/>
    <col min="6" max="6" width="12" style="4" bestFit="1" customWidth="1"/>
  </cols>
  <sheetData>
    <row r="1" spans="1:6" x14ac:dyDescent="0.3">
      <c r="A1" s="1" t="s">
        <v>0</v>
      </c>
      <c r="B1" s="1" t="s">
        <v>14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2">
        <v>46054</v>
      </c>
      <c r="B2" t="s">
        <v>15</v>
      </c>
      <c r="C2" s="2">
        <v>46081</v>
      </c>
      <c r="D2">
        <v>2106</v>
      </c>
      <c r="E2">
        <v>36.392857142857139</v>
      </c>
      <c r="F2" s="4">
        <v>57.868498527968598</v>
      </c>
    </row>
    <row r="3" spans="1:6" x14ac:dyDescent="0.3">
      <c r="A3" s="2">
        <v>46054</v>
      </c>
      <c r="B3" t="s">
        <v>16</v>
      </c>
      <c r="C3" s="2">
        <v>46081</v>
      </c>
      <c r="D3">
        <v>4945</v>
      </c>
      <c r="E3">
        <v>30.464285714285719</v>
      </c>
      <c r="F3" s="4">
        <v>162.32121922626021</v>
      </c>
    </row>
    <row r="4" spans="1:6" x14ac:dyDescent="0.3">
      <c r="A4" s="2">
        <v>46054</v>
      </c>
      <c r="B4" t="s">
        <v>17</v>
      </c>
      <c r="C4" s="2">
        <v>46081</v>
      </c>
      <c r="D4">
        <v>3074</v>
      </c>
      <c r="E4">
        <v>141.64285714285711</v>
      </c>
      <c r="F4" s="4">
        <v>21.70247100353</v>
      </c>
    </row>
    <row r="5" spans="1:6" x14ac:dyDescent="0.3">
      <c r="A5" s="2">
        <v>46054</v>
      </c>
      <c r="B5" t="s">
        <v>18</v>
      </c>
      <c r="C5" s="2">
        <v>46081</v>
      </c>
      <c r="D5">
        <v>7159</v>
      </c>
      <c r="E5">
        <v>144.17857142857139</v>
      </c>
      <c r="F5" s="4">
        <v>49.653703244983902</v>
      </c>
    </row>
    <row r="6" spans="1:6" x14ac:dyDescent="0.3">
      <c r="A6" s="2">
        <v>46054</v>
      </c>
      <c r="B6" t="s">
        <v>19</v>
      </c>
      <c r="C6" s="2">
        <v>46081</v>
      </c>
      <c r="D6">
        <v>31094</v>
      </c>
      <c r="E6">
        <v>1763.428571428572</v>
      </c>
      <c r="F6" s="4">
        <v>17.63269604666235</v>
      </c>
    </row>
    <row r="7" spans="1:6" x14ac:dyDescent="0.3">
      <c r="A7" s="2">
        <v>46054</v>
      </c>
      <c r="B7" t="s">
        <v>20</v>
      </c>
      <c r="C7" s="2">
        <v>46081</v>
      </c>
      <c r="D7">
        <v>6880</v>
      </c>
      <c r="E7">
        <v>270.10714285714278</v>
      </c>
      <c r="F7" s="4">
        <v>25.471373793468199</v>
      </c>
    </row>
    <row r="8" spans="1:6" x14ac:dyDescent="0.3">
      <c r="A8" s="2">
        <v>46054</v>
      </c>
      <c r="B8" t="s">
        <v>21</v>
      </c>
      <c r="C8" s="2">
        <v>46081</v>
      </c>
      <c r="D8">
        <v>7941</v>
      </c>
      <c r="E8">
        <v>435.64285714285722</v>
      </c>
      <c r="F8" s="4">
        <v>18.22823413674373</v>
      </c>
    </row>
    <row r="9" spans="1:6" x14ac:dyDescent="0.3">
      <c r="A9" s="2">
        <v>46054</v>
      </c>
      <c r="B9" t="s">
        <v>22</v>
      </c>
      <c r="C9" s="2">
        <v>46081</v>
      </c>
      <c r="D9">
        <v>5875</v>
      </c>
      <c r="E9">
        <v>247.10714285714289</v>
      </c>
      <c r="F9" s="4">
        <v>23.775112010406129</v>
      </c>
    </row>
    <row r="10" spans="1:6" x14ac:dyDescent="0.3">
      <c r="A10" s="2">
        <v>46054</v>
      </c>
      <c r="B10" t="s">
        <v>23</v>
      </c>
      <c r="C10" s="2">
        <v>46081</v>
      </c>
      <c r="D10">
        <v>4209</v>
      </c>
      <c r="E10">
        <v>123.03571428571431</v>
      </c>
      <c r="F10" s="4">
        <v>34.209579100145127</v>
      </c>
    </row>
    <row r="11" spans="1:6" x14ac:dyDescent="0.3">
      <c r="A11" s="2">
        <v>46054</v>
      </c>
      <c r="B11" t="s">
        <v>24</v>
      </c>
      <c r="C11" s="2">
        <v>46081</v>
      </c>
      <c r="D11">
        <v>7361</v>
      </c>
      <c r="E11">
        <v>291.53571428571428</v>
      </c>
      <c r="F11" s="4">
        <v>25.2490505941443</v>
      </c>
    </row>
    <row r="12" spans="1:6" x14ac:dyDescent="0.3">
      <c r="A12" s="2">
        <v>46054</v>
      </c>
      <c r="B12" t="s">
        <v>25</v>
      </c>
      <c r="C12" s="2">
        <v>46081</v>
      </c>
      <c r="D12">
        <v>6673</v>
      </c>
      <c r="E12">
        <v>183.57142857142861</v>
      </c>
      <c r="F12" s="4">
        <v>36.35097276264591</v>
      </c>
    </row>
    <row r="13" spans="1:6" x14ac:dyDescent="0.3">
      <c r="A13" s="2">
        <v>46054</v>
      </c>
      <c r="B13" t="s">
        <v>26</v>
      </c>
      <c r="C13" s="2">
        <v>46081</v>
      </c>
      <c r="D13">
        <v>4523</v>
      </c>
      <c r="E13">
        <v>214.1428571428572</v>
      </c>
      <c r="F13" s="4">
        <v>21.121414276184119</v>
      </c>
    </row>
    <row r="14" spans="1:6" x14ac:dyDescent="0.3">
      <c r="A14" s="2">
        <v>46054</v>
      </c>
      <c r="B14" t="s">
        <v>27</v>
      </c>
      <c r="C14" s="2">
        <v>46081</v>
      </c>
      <c r="D14">
        <v>5207</v>
      </c>
      <c r="E14">
        <v>346.78571428571428</v>
      </c>
      <c r="F14" s="4">
        <v>15.01503604531411</v>
      </c>
    </row>
    <row r="15" spans="1:6" x14ac:dyDescent="0.3">
      <c r="A15" s="2">
        <v>46054</v>
      </c>
      <c r="B15" t="s">
        <v>28</v>
      </c>
      <c r="C15" s="2">
        <v>46081</v>
      </c>
      <c r="D15">
        <v>850</v>
      </c>
      <c r="E15">
        <v>39.928571428571431</v>
      </c>
      <c r="F15" s="4">
        <v>21.288014311270121</v>
      </c>
    </row>
    <row r="16" spans="1:6" x14ac:dyDescent="0.3">
      <c r="A16" s="2">
        <v>46054</v>
      </c>
      <c r="B16" t="s">
        <v>29</v>
      </c>
      <c r="C16" s="2">
        <v>46081</v>
      </c>
      <c r="D16">
        <v>8520</v>
      </c>
      <c r="E16">
        <v>419.53571428571428</v>
      </c>
      <c r="F16" s="4">
        <v>20.308163786498682</v>
      </c>
    </row>
    <row r="17" spans="1:6" x14ac:dyDescent="0.3">
      <c r="A17" s="2">
        <v>46054</v>
      </c>
      <c r="B17" t="s">
        <v>30</v>
      </c>
      <c r="C17" s="2">
        <v>46081</v>
      </c>
      <c r="D17">
        <v>11050</v>
      </c>
      <c r="E17">
        <v>627.53571428571422</v>
      </c>
      <c r="F17" s="4">
        <v>17.608559558363211</v>
      </c>
    </row>
    <row r="18" spans="1:6" x14ac:dyDescent="0.3">
      <c r="A18" s="2">
        <v>46054</v>
      </c>
      <c r="B18" t="s">
        <v>31</v>
      </c>
      <c r="C18" s="2">
        <v>46081</v>
      </c>
      <c r="D18">
        <v>2402</v>
      </c>
      <c r="E18">
        <v>138.75</v>
      </c>
      <c r="F18" s="4">
        <v>17.311711711711709</v>
      </c>
    </row>
    <row r="19" spans="1:6" x14ac:dyDescent="0.3">
      <c r="A19" s="2">
        <v>46054</v>
      </c>
      <c r="B19" t="s">
        <v>32</v>
      </c>
      <c r="C19" s="2">
        <v>46081</v>
      </c>
      <c r="D19">
        <v>2510</v>
      </c>
      <c r="E19">
        <v>64.357142857142861</v>
      </c>
      <c r="F19" s="4">
        <v>39.001109877913429</v>
      </c>
    </row>
    <row r="20" spans="1:6" x14ac:dyDescent="0.3">
      <c r="A20" s="2">
        <v>46054</v>
      </c>
      <c r="B20" t="s">
        <v>33</v>
      </c>
      <c r="C20" s="2">
        <v>46081</v>
      </c>
      <c r="D20">
        <v>2006</v>
      </c>
      <c r="E20">
        <v>22.5</v>
      </c>
      <c r="F20" s="4">
        <v>89.155555555555551</v>
      </c>
    </row>
    <row r="21" spans="1:6" x14ac:dyDescent="0.3">
      <c r="A21" s="2">
        <v>46054</v>
      </c>
      <c r="B21" t="s">
        <v>34</v>
      </c>
      <c r="C21" s="2">
        <v>46081</v>
      </c>
      <c r="D21">
        <v>4848</v>
      </c>
      <c r="E21">
        <v>64.500000000000014</v>
      </c>
      <c r="F21" s="4">
        <v>75.162790697674396</v>
      </c>
    </row>
    <row r="22" spans="1:6" x14ac:dyDescent="0.3">
      <c r="A22" s="2">
        <v>46054</v>
      </c>
      <c r="B22" t="s">
        <v>35</v>
      </c>
      <c r="C22" s="2">
        <v>46081</v>
      </c>
      <c r="D22">
        <v>2357</v>
      </c>
      <c r="E22">
        <v>31.107142857142851</v>
      </c>
      <c r="F22" s="4">
        <v>75.77037887485649</v>
      </c>
    </row>
    <row r="23" spans="1:6" x14ac:dyDescent="0.3">
      <c r="A23" s="2">
        <v>46054</v>
      </c>
      <c r="B23" t="s">
        <v>36</v>
      </c>
      <c r="C23" s="2">
        <v>46081</v>
      </c>
      <c r="D23">
        <v>1220</v>
      </c>
      <c r="E23">
        <v>15</v>
      </c>
      <c r="F23" s="4">
        <v>81.333333333333329</v>
      </c>
    </row>
    <row r="24" spans="1:6" x14ac:dyDescent="0.3">
      <c r="A24" s="2">
        <v>46082</v>
      </c>
      <c r="B24" t="s">
        <v>15</v>
      </c>
      <c r="C24" s="2">
        <v>46112</v>
      </c>
      <c r="D24">
        <v>1327</v>
      </c>
      <c r="E24">
        <v>22.464285714285719</v>
      </c>
      <c r="F24" s="4">
        <v>59.071542130365657</v>
      </c>
    </row>
    <row r="25" spans="1:6" x14ac:dyDescent="0.3">
      <c r="A25" s="2">
        <v>46082</v>
      </c>
      <c r="B25" t="s">
        <v>16</v>
      </c>
      <c r="C25" s="2">
        <v>46112</v>
      </c>
      <c r="D25">
        <v>4371</v>
      </c>
      <c r="E25">
        <v>16.071428571428569</v>
      </c>
      <c r="F25" s="4">
        <v>271.9733333333333</v>
      </c>
    </row>
    <row r="26" spans="1:6" x14ac:dyDescent="0.3">
      <c r="A26" s="2">
        <v>46082</v>
      </c>
      <c r="B26" t="s">
        <v>17</v>
      </c>
      <c r="C26" s="2">
        <v>46112</v>
      </c>
      <c r="D26">
        <v>2211</v>
      </c>
      <c r="E26">
        <v>62.000000000000007</v>
      </c>
      <c r="F26" s="4">
        <v>35.661290322580641</v>
      </c>
    </row>
    <row r="27" spans="1:6" x14ac:dyDescent="0.3">
      <c r="A27" s="2">
        <v>46082</v>
      </c>
      <c r="B27" t="s">
        <v>18</v>
      </c>
      <c r="C27" s="2">
        <v>46112</v>
      </c>
      <c r="D27">
        <v>3885</v>
      </c>
      <c r="E27">
        <v>41.214285714285722</v>
      </c>
      <c r="F27" s="4">
        <v>94.263431542461007</v>
      </c>
    </row>
    <row r="28" spans="1:6" x14ac:dyDescent="0.3">
      <c r="A28" s="2">
        <v>46082</v>
      </c>
      <c r="B28" t="s">
        <v>19</v>
      </c>
      <c r="C28" s="2">
        <v>46112</v>
      </c>
      <c r="D28">
        <v>15040</v>
      </c>
      <c r="E28">
        <v>348.60714285714289</v>
      </c>
      <c r="F28" s="4">
        <v>43.143120581907588</v>
      </c>
    </row>
    <row r="29" spans="1:6" x14ac:dyDescent="0.3">
      <c r="A29" s="2">
        <v>46082</v>
      </c>
      <c r="B29" t="s">
        <v>20</v>
      </c>
      <c r="C29" s="2">
        <v>46112</v>
      </c>
      <c r="D29">
        <v>4400</v>
      </c>
      <c r="E29">
        <v>147.5</v>
      </c>
      <c r="F29" s="4">
        <v>29.83050847457627</v>
      </c>
    </row>
    <row r="30" spans="1:6" x14ac:dyDescent="0.3">
      <c r="A30" s="2">
        <v>46082</v>
      </c>
      <c r="B30" t="s">
        <v>21</v>
      </c>
      <c r="C30" s="2">
        <v>46112</v>
      </c>
      <c r="D30">
        <v>5171</v>
      </c>
      <c r="E30">
        <v>182.75</v>
      </c>
      <c r="F30" s="4">
        <v>28.295485636114911</v>
      </c>
    </row>
    <row r="31" spans="1:6" x14ac:dyDescent="0.3">
      <c r="A31" s="2">
        <v>46082</v>
      </c>
      <c r="B31" t="s">
        <v>22</v>
      </c>
      <c r="C31" s="2">
        <v>46112</v>
      </c>
      <c r="D31">
        <v>3428</v>
      </c>
      <c r="E31">
        <v>80.392857142857139</v>
      </c>
      <c r="F31" s="4">
        <v>42.640604175921823</v>
      </c>
    </row>
    <row r="32" spans="1:6" x14ac:dyDescent="0.3">
      <c r="A32" s="2">
        <v>46082</v>
      </c>
      <c r="B32" t="s">
        <v>23</v>
      </c>
      <c r="C32" s="2">
        <v>46112</v>
      </c>
      <c r="D32">
        <v>2828</v>
      </c>
      <c r="E32">
        <v>42.214285714285708</v>
      </c>
      <c r="F32" s="4">
        <v>66.99153976311338</v>
      </c>
    </row>
    <row r="33" spans="1:6" x14ac:dyDescent="0.3">
      <c r="A33" s="2">
        <v>46082</v>
      </c>
      <c r="B33" t="s">
        <v>24</v>
      </c>
      <c r="C33" s="2">
        <v>46112</v>
      </c>
      <c r="D33">
        <v>3052</v>
      </c>
      <c r="E33">
        <v>151.17857142857139</v>
      </c>
      <c r="F33" s="4">
        <v>20.188046302858499</v>
      </c>
    </row>
    <row r="34" spans="1:6" x14ac:dyDescent="0.3">
      <c r="A34" s="2">
        <v>46082</v>
      </c>
      <c r="B34" t="s">
        <v>25</v>
      </c>
      <c r="C34" s="2">
        <v>46112</v>
      </c>
      <c r="D34">
        <v>5369</v>
      </c>
      <c r="E34">
        <v>48.392857142857153</v>
      </c>
      <c r="F34" s="4">
        <v>110.9461254612546</v>
      </c>
    </row>
    <row r="35" spans="1:6" x14ac:dyDescent="0.3">
      <c r="A35" s="2">
        <v>46082</v>
      </c>
      <c r="B35" t="s">
        <v>26</v>
      </c>
      <c r="C35" s="2">
        <v>46112</v>
      </c>
      <c r="D35">
        <v>2517</v>
      </c>
      <c r="E35">
        <v>77.607142857142861</v>
      </c>
      <c r="F35" s="4">
        <v>32.432581684307408</v>
      </c>
    </row>
    <row r="36" spans="1:6" x14ac:dyDescent="0.3">
      <c r="A36" s="2">
        <v>46082</v>
      </c>
      <c r="B36" t="s">
        <v>27</v>
      </c>
      <c r="C36" s="2">
        <v>46112</v>
      </c>
      <c r="D36">
        <v>3220</v>
      </c>
      <c r="E36">
        <v>159.67857142857139</v>
      </c>
      <c r="F36" s="4">
        <v>20.165511071348689</v>
      </c>
    </row>
    <row r="37" spans="1:6" x14ac:dyDescent="0.3">
      <c r="A37" s="2">
        <v>46082</v>
      </c>
      <c r="B37" t="s">
        <v>28</v>
      </c>
      <c r="C37" s="2">
        <v>46112</v>
      </c>
      <c r="D37">
        <v>1030</v>
      </c>
      <c r="E37">
        <v>6.75</v>
      </c>
      <c r="F37" s="4">
        <v>152.59259259259261</v>
      </c>
    </row>
    <row r="38" spans="1:6" x14ac:dyDescent="0.3">
      <c r="A38" s="2">
        <v>46082</v>
      </c>
      <c r="B38" t="s">
        <v>29</v>
      </c>
      <c r="C38" s="2">
        <v>46112</v>
      </c>
      <c r="D38">
        <v>4666</v>
      </c>
      <c r="E38">
        <v>165.64285714285711</v>
      </c>
      <c r="F38" s="4">
        <v>28.169038378611472</v>
      </c>
    </row>
    <row r="39" spans="1:6" x14ac:dyDescent="0.3">
      <c r="A39" s="2">
        <v>46082</v>
      </c>
      <c r="B39" t="s">
        <v>30</v>
      </c>
      <c r="C39" s="2">
        <v>46112</v>
      </c>
      <c r="D39">
        <v>4972</v>
      </c>
      <c r="E39">
        <v>171.3571428571428</v>
      </c>
      <c r="F39" s="4">
        <v>29.015423092955398</v>
      </c>
    </row>
    <row r="40" spans="1:6" x14ac:dyDescent="0.3">
      <c r="A40" s="2">
        <v>46082</v>
      </c>
      <c r="B40" t="s">
        <v>31</v>
      </c>
      <c r="C40" s="2">
        <v>46112</v>
      </c>
      <c r="D40">
        <v>1349</v>
      </c>
      <c r="E40">
        <v>45.892857142857139</v>
      </c>
      <c r="F40" s="4">
        <v>29.394552529182882</v>
      </c>
    </row>
    <row r="41" spans="1:6" x14ac:dyDescent="0.3">
      <c r="A41" s="2">
        <v>46082</v>
      </c>
      <c r="B41" t="s">
        <v>32</v>
      </c>
      <c r="C41" s="2">
        <v>46112</v>
      </c>
      <c r="D41">
        <v>924</v>
      </c>
      <c r="E41">
        <v>37.464285714285722</v>
      </c>
      <c r="F41" s="4">
        <v>24.66348903717827</v>
      </c>
    </row>
    <row r="42" spans="1:6" x14ac:dyDescent="0.3">
      <c r="A42" s="2">
        <v>46082</v>
      </c>
      <c r="B42" t="s">
        <v>33</v>
      </c>
      <c r="C42" s="2">
        <v>46112</v>
      </c>
      <c r="D42">
        <v>1514</v>
      </c>
      <c r="E42">
        <v>14.714285714285721</v>
      </c>
      <c r="F42" s="4">
        <v>102.8932038834951</v>
      </c>
    </row>
    <row r="43" spans="1:6" x14ac:dyDescent="0.3">
      <c r="A43" s="2">
        <v>46082</v>
      </c>
      <c r="B43" t="s">
        <v>34</v>
      </c>
      <c r="C43" s="2">
        <v>46112</v>
      </c>
      <c r="D43">
        <v>2910</v>
      </c>
      <c r="E43">
        <v>49.857142857142861</v>
      </c>
      <c r="F43" s="4">
        <v>58.366762177650422</v>
      </c>
    </row>
    <row r="44" spans="1:6" x14ac:dyDescent="0.3">
      <c r="A44" s="2">
        <v>46082</v>
      </c>
      <c r="B44" t="s">
        <v>35</v>
      </c>
      <c r="C44" s="2">
        <v>46112</v>
      </c>
      <c r="D44">
        <v>1725</v>
      </c>
      <c r="E44">
        <v>13.5</v>
      </c>
      <c r="F44" s="4">
        <v>127.7777777777778</v>
      </c>
    </row>
    <row r="45" spans="1:6" x14ac:dyDescent="0.3">
      <c r="A45" s="2">
        <v>46082</v>
      </c>
      <c r="B45" t="s">
        <v>36</v>
      </c>
      <c r="C45" s="2">
        <v>46112</v>
      </c>
      <c r="D45">
        <v>807</v>
      </c>
      <c r="E45">
        <v>9.6428571428571441</v>
      </c>
      <c r="F45" s="4">
        <v>83.688888888888883</v>
      </c>
    </row>
    <row r="46" spans="1:6" x14ac:dyDescent="0.3">
      <c r="A46" s="2">
        <v>46113</v>
      </c>
      <c r="B46" t="s">
        <v>15</v>
      </c>
      <c r="C46" s="2">
        <v>46142</v>
      </c>
      <c r="D46">
        <v>711</v>
      </c>
      <c r="E46">
        <v>13.857142857142859</v>
      </c>
      <c r="F46" s="4">
        <v>51.309278350515463</v>
      </c>
    </row>
    <row r="47" spans="1:6" x14ac:dyDescent="0.3">
      <c r="A47" s="2">
        <v>46113</v>
      </c>
      <c r="B47" t="s">
        <v>16</v>
      </c>
      <c r="C47" s="2">
        <v>46142</v>
      </c>
      <c r="D47">
        <v>3083</v>
      </c>
      <c r="E47">
        <v>10.857142857142859</v>
      </c>
      <c r="F47" s="4">
        <v>283.96052631578948</v>
      </c>
    </row>
    <row r="48" spans="1:6" x14ac:dyDescent="0.3">
      <c r="A48" s="2">
        <v>46113</v>
      </c>
      <c r="B48" t="s">
        <v>17</v>
      </c>
      <c r="C48" s="2">
        <v>46142</v>
      </c>
      <c r="D48">
        <v>646</v>
      </c>
      <c r="E48">
        <v>31.142857142857139</v>
      </c>
      <c r="F48" s="4">
        <v>20.74311926605505</v>
      </c>
    </row>
    <row r="49" spans="1:6" x14ac:dyDescent="0.3">
      <c r="A49" s="2">
        <v>46113</v>
      </c>
      <c r="B49" t="s">
        <v>18</v>
      </c>
      <c r="C49" s="2">
        <v>46142</v>
      </c>
      <c r="D49">
        <v>2728</v>
      </c>
      <c r="E49">
        <v>34.142857142857153</v>
      </c>
      <c r="F49" s="4">
        <v>79.899581589958146</v>
      </c>
    </row>
    <row r="50" spans="1:6" x14ac:dyDescent="0.3">
      <c r="A50" s="2">
        <v>46113</v>
      </c>
      <c r="B50" t="s">
        <v>19</v>
      </c>
      <c r="C50" s="2">
        <v>46142</v>
      </c>
      <c r="D50">
        <v>5069</v>
      </c>
      <c r="E50">
        <v>244.42857142857139</v>
      </c>
      <c r="F50" s="4">
        <v>20.738164815897139</v>
      </c>
    </row>
    <row r="51" spans="1:6" x14ac:dyDescent="0.3">
      <c r="A51" s="2">
        <v>46113</v>
      </c>
      <c r="B51" t="s">
        <v>20</v>
      </c>
      <c r="C51" s="2">
        <v>46142</v>
      </c>
      <c r="D51">
        <v>1390</v>
      </c>
      <c r="E51">
        <v>95.285714285714292</v>
      </c>
      <c r="F51" s="4">
        <v>14.587706146926539</v>
      </c>
    </row>
    <row r="52" spans="1:6" x14ac:dyDescent="0.3">
      <c r="A52" s="2">
        <v>46113</v>
      </c>
      <c r="B52" t="s">
        <v>21</v>
      </c>
      <c r="C52" s="2">
        <v>46142</v>
      </c>
      <c r="D52">
        <v>1342</v>
      </c>
      <c r="E52">
        <v>87.285714285714292</v>
      </c>
      <c r="F52" s="4">
        <v>15.37479541734861</v>
      </c>
    </row>
    <row r="53" spans="1:6" x14ac:dyDescent="0.3">
      <c r="A53" s="2">
        <v>46113</v>
      </c>
      <c r="B53" t="s">
        <v>22</v>
      </c>
      <c r="C53" s="2">
        <v>46142</v>
      </c>
      <c r="D53">
        <v>1188</v>
      </c>
      <c r="E53">
        <v>70.428571428571431</v>
      </c>
      <c r="F53" s="4">
        <v>16.86815415821501</v>
      </c>
    </row>
    <row r="54" spans="1:6" x14ac:dyDescent="0.3">
      <c r="A54" s="2">
        <v>46113</v>
      </c>
      <c r="B54" t="s">
        <v>23</v>
      </c>
      <c r="C54" s="2">
        <v>46142</v>
      </c>
      <c r="D54">
        <v>1420</v>
      </c>
      <c r="E54">
        <v>22.714285714285719</v>
      </c>
      <c r="F54" s="4">
        <v>62.515723270440247</v>
      </c>
    </row>
    <row r="55" spans="1:6" x14ac:dyDescent="0.3">
      <c r="A55" s="2">
        <v>46113</v>
      </c>
      <c r="B55" t="s">
        <v>24</v>
      </c>
      <c r="C55" s="2">
        <v>46142</v>
      </c>
      <c r="D55">
        <v>1470</v>
      </c>
      <c r="E55">
        <v>82.285714285714292</v>
      </c>
      <c r="F55" s="4">
        <v>17.864583333333329</v>
      </c>
    </row>
    <row r="56" spans="1:6" x14ac:dyDescent="0.3">
      <c r="A56" s="2">
        <v>46113</v>
      </c>
      <c r="B56" t="s">
        <v>25</v>
      </c>
      <c r="C56" s="2">
        <v>46142</v>
      </c>
      <c r="D56">
        <v>3870</v>
      </c>
      <c r="E56">
        <v>28.857142857142861</v>
      </c>
      <c r="F56" s="4">
        <v>134.1089108910891</v>
      </c>
    </row>
    <row r="57" spans="1:6" x14ac:dyDescent="0.3">
      <c r="A57" s="2">
        <v>46113</v>
      </c>
      <c r="B57" t="s">
        <v>26</v>
      </c>
      <c r="C57" s="2">
        <v>46142</v>
      </c>
      <c r="D57">
        <v>941</v>
      </c>
      <c r="E57">
        <v>45.285714285714278</v>
      </c>
      <c r="F57" s="4">
        <v>20.779179810725552</v>
      </c>
    </row>
    <row r="58" spans="1:6" x14ac:dyDescent="0.3">
      <c r="A58" s="2">
        <v>46113</v>
      </c>
      <c r="B58" t="s">
        <v>27</v>
      </c>
      <c r="C58" s="2">
        <v>46142</v>
      </c>
      <c r="D58">
        <v>459</v>
      </c>
      <c r="E58">
        <v>89.428571428571431</v>
      </c>
      <c r="F58" s="4">
        <v>5.1325878594249197</v>
      </c>
    </row>
    <row r="59" spans="1:6" x14ac:dyDescent="0.3">
      <c r="A59" s="2">
        <v>46113</v>
      </c>
      <c r="B59" t="s">
        <v>28</v>
      </c>
      <c r="C59" s="2">
        <v>46142</v>
      </c>
      <c r="D59">
        <v>856</v>
      </c>
      <c r="E59">
        <v>3</v>
      </c>
      <c r="F59" s="4">
        <v>285.33333333333331</v>
      </c>
    </row>
    <row r="60" spans="1:6" x14ac:dyDescent="0.3">
      <c r="A60" s="2">
        <v>46113</v>
      </c>
      <c r="B60" t="s">
        <v>29</v>
      </c>
      <c r="C60" s="2">
        <v>46142</v>
      </c>
      <c r="D60">
        <v>1070</v>
      </c>
      <c r="E60">
        <v>98</v>
      </c>
      <c r="F60" s="4">
        <v>10.91836734693878</v>
      </c>
    </row>
    <row r="61" spans="1:6" x14ac:dyDescent="0.3">
      <c r="A61" s="2">
        <v>46113</v>
      </c>
      <c r="B61" t="s">
        <v>30</v>
      </c>
      <c r="C61" s="2">
        <v>46142</v>
      </c>
      <c r="D61">
        <v>1760</v>
      </c>
      <c r="E61">
        <v>90.714285714285708</v>
      </c>
      <c r="F61" s="4">
        <v>19.401574803149611</v>
      </c>
    </row>
    <row r="62" spans="1:6" x14ac:dyDescent="0.3">
      <c r="A62" s="2">
        <v>46113</v>
      </c>
      <c r="B62" t="s">
        <v>31</v>
      </c>
      <c r="C62" s="2">
        <v>46142</v>
      </c>
      <c r="D62">
        <v>722</v>
      </c>
      <c r="E62">
        <v>33</v>
      </c>
      <c r="F62" s="4">
        <v>21.878787878787879</v>
      </c>
    </row>
    <row r="63" spans="1:6" x14ac:dyDescent="0.3">
      <c r="A63" s="2">
        <v>46113</v>
      </c>
      <c r="B63" t="s">
        <v>32</v>
      </c>
      <c r="C63" s="2">
        <v>46142</v>
      </c>
      <c r="D63">
        <v>515</v>
      </c>
      <c r="E63">
        <v>18.142857142857139</v>
      </c>
      <c r="F63" s="4">
        <v>28.385826771653541</v>
      </c>
    </row>
    <row r="64" spans="1:6" x14ac:dyDescent="0.3">
      <c r="A64" s="2">
        <v>46113</v>
      </c>
      <c r="B64" t="s">
        <v>33</v>
      </c>
      <c r="C64" s="2">
        <v>46142</v>
      </c>
      <c r="D64">
        <v>1195</v>
      </c>
      <c r="E64">
        <v>8.8571428571428577</v>
      </c>
      <c r="F64" s="4">
        <v>134.91935483870969</v>
      </c>
    </row>
    <row r="65" spans="1:6" x14ac:dyDescent="0.3">
      <c r="A65" s="2">
        <v>46113</v>
      </c>
      <c r="B65" t="s">
        <v>34</v>
      </c>
      <c r="C65" s="2">
        <v>46142</v>
      </c>
      <c r="D65">
        <v>1713</v>
      </c>
      <c r="E65">
        <v>24.285714285714281</v>
      </c>
      <c r="F65" s="4">
        <v>70.535294117647055</v>
      </c>
    </row>
    <row r="66" spans="1:6" x14ac:dyDescent="0.3">
      <c r="A66" s="2">
        <v>46113</v>
      </c>
      <c r="B66" t="s">
        <v>35</v>
      </c>
      <c r="C66" s="2">
        <v>46142</v>
      </c>
      <c r="D66">
        <v>1436</v>
      </c>
      <c r="E66">
        <v>8.2857142857142865</v>
      </c>
      <c r="F66" s="4">
        <v>173.31034482758619</v>
      </c>
    </row>
    <row r="67" spans="1:6" x14ac:dyDescent="0.3">
      <c r="A67" s="2">
        <v>46113</v>
      </c>
      <c r="B67" t="s">
        <v>36</v>
      </c>
      <c r="C67" s="2">
        <v>46142</v>
      </c>
      <c r="D67">
        <v>527</v>
      </c>
      <c r="E67">
        <v>4.2857142857142856</v>
      </c>
      <c r="F67" s="4">
        <v>122.9666666666667</v>
      </c>
    </row>
    <row r="68" spans="1:6" x14ac:dyDescent="0.3">
      <c r="A68" s="2">
        <v>46143</v>
      </c>
      <c r="B68" t="s">
        <v>15</v>
      </c>
      <c r="C68" s="2">
        <v>46145</v>
      </c>
      <c r="D68">
        <v>678</v>
      </c>
      <c r="E68">
        <v>13.857142857142859</v>
      </c>
      <c r="F68" s="4">
        <v>48.927835051546388</v>
      </c>
    </row>
    <row r="69" spans="1:6" x14ac:dyDescent="0.3">
      <c r="A69" s="2">
        <v>46143</v>
      </c>
      <c r="B69" t="s">
        <v>16</v>
      </c>
      <c r="C69" s="2">
        <v>46145</v>
      </c>
      <c r="D69">
        <v>3056</v>
      </c>
      <c r="E69">
        <v>10.857142857142859</v>
      </c>
      <c r="F69" s="4">
        <v>281.4736842105263</v>
      </c>
    </row>
    <row r="70" spans="1:6" x14ac:dyDescent="0.3">
      <c r="A70" s="2">
        <v>46143</v>
      </c>
      <c r="B70" t="s">
        <v>17</v>
      </c>
      <c r="C70" s="2">
        <v>46145</v>
      </c>
      <c r="D70">
        <v>558</v>
      </c>
      <c r="E70">
        <v>31.142857142857139</v>
      </c>
      <c r="F70" s="4">
        <v>17.917431192660551</v>
      </c>
    </row>
    <row r="71" spans="1:6" x14ac:dyDescent="0.3">
      <c r="A71" s="2">
        <v>46143</v>
      </c>
      <c r="B71" t="s">
        <v>18</v>
      </c>
      <c r="C71" s="2">
        <v>46145</v>
      </c>
      <c r="D71">
        <v>2635</v>
      </c>
      <c r="E71">
        <v>34.142857142857153</v>
      </c>
      <c r="F71" s="4">
        <v>77.175732217573213</v>
      </c>
    </row>
    <row r="72" spans="1:6" x14ac:dyDescent="0.3">
      <c r="A72" s="2">
        <v>46143</v>
      </c>
      <c r="B72" t="s">
        <v>19</v>
      </c>
      <c r="C72" s="2">
        <v>46145</v>
      </c>
      <c r="D72">
        <v>4296</v>
      </c>
      <c r="E72">
        <v>244.42857142857139</v>
      </c>
      <c r="F72" s="4">
        <v>17.575686732904739</v>
      </c>
    </row>
    <row r="73" spans="1:6" x14ac:dyDescent="0.3">
      <c r="A73" s="2">
        <v>46143</v>
      </c>
      <c r="B73" t="s">
        <v>20</v>
      </c>
      <c r="C73" s="2">
        <v>46145</v>
      </c>
      <c r="D73">
        <v>1143</v>
      </c>
      <c r="E73">
        <v>95.285714285714292</v>
      </c>
      <c r="F73" s="4">
        <v>11.99550224887556</v>
      </c>
    </row>
    <row r="74" spans="1:6" x14ac:dyDescent="0.3">
      <c r="A74" s="2">
        <v>46143</v>
      </c>
      <c r="B74" t="s">
        <v>21</v>
      </c>
      <c r="C74" s="2">
        <v>46145</v>
      </c>
      <c r="D74">
        <v>1066</v>
      </c>
      <c r="E74">
        <v>87.285714285714292</v>
      </c>
      <c r="F74" s="4">
        <v>12.212765957446811</v>
      </c>
    </row>
    <row r="75" spans="1:6" x14ac:dyDescent="0.3">
      <c r="A75" s="2">
        <v>46143</v>
      </c>
      <c r="B75" t="s">
        <v>22</v>
      </c>
      <c r="C75" s="2">
        <v>46145</v>
      </c>
      <c r="D75">
        <v>992</v>
      </c>
      <c r="E75">
        <v>70.428571428571431</v>
      </c>
      <c r="F75" s="4">
        <v>14.085192697768759</v>
      </c>
    </row>
    <row r="76" spans="1:6" x14ac:dyDescent="0.3">
      <c r="A76" s="2">
        <v>46143</v>
      </c>
      <c r="B76" t="s">
        <v>23</v>
      </c>
      <c r="C76" s="2">
        <v>46145</v>
      </c>
      <c r="D76">
        <v>1377</v>
      </c>
      <c r="E76">
        <v>22.714285714285719</v>
      </c>
      <c r="F76" s="4">
        <v>60.622641509433961</v>
      </c>
    </row>
    <row r="77" spans="1:6" x14ac:dyDescent="0.3">
      <c r="A77" s="2">
        <v>46143</v>
      </c>
      <c r="B77" t="s">
        <v>24</v>
      </c>
      <c r="C77" s="2">
        <v>46145</v>
      </c>
      <c r="D77">
        <v>1227</v>
      </c>
      <c r="E77">
        <v>82.285714285714292</v>
      </c>
      <c r="F77" s="4">
        <v>14.91145833333333</v>
      </c>
    </row>
    <row r="78" spans="1:6" x14ac:dyDescent="0.3">
      <c r="A78" s="2">
        <v>46143</v>
      </c>
      <c r="B78" t="s">
        <v>25</v>
      </c>
      <c r="C78" s="2">
        <v>46145</v>
      </c>
      <c r="D78">
        <v>3825</v>
      </c>
      <c r="E78">
        <v>28.857142857142861</v>
      </c>
      <c r="F78" s="4">
        <v>132.54950495049499</v>
      </c>
    </row>
    <row r="79" spans="1:6" x14ac:dyDescent="0.3">
      <c r="A79" s="2">
        <v>46143</v>
      </c>
      <c r="B79" t="s">
        <v>26</v>
      </c>
      <c r="C79" s="2">
        <v>46145</v>
      </c>
      <c r="D79">
        <v>846</v>
      </c>
      <c r="E79">
        <v>45.285714285714278</v>
      </c>
      <c r="F79" s="4">
        <v>18.681388012618299</v>
      </c>
    </row>
    <row r="80" spans="1:6" x14ac:dyDescent="0.3">
      <c r="A80" s="2">
        <v>46143</v>
      </c>
      <c r="B80" t="s">
        <v>27</v>
      </c>
      <c r="C80" s="2">
        <v>46145</v>
      </c>
      <c r="D80">
        <v>267</v>
      </c>
      <c r="E80">
        <v>89.428571428571431</v>
      </c>
      <c r="F80" s="4">
        <v>2.9856230031948878</v>
      </c>
    </row>
    <row r="81" spans="1:6" x14ac:dyDescent="0.3">
      <c r="A81" s="2">
        <v>46143</v>
      </c>
      <c r="B81" t="s">
        <v>28</v>
      </c>
      <c r="C81" s="2">
        <v>46145</v>
      </c>
      <c r="D81">
        <v>854</v>
      </c>
      <c r="E81">
        <v>3</v>
      </c>
      <c r="F81" s="4">
        <v>284.66666666666669</v>
      </c>
    </row>
    <row r="82" spans="1:6" x14ac:dyDescent="0.3">
      <c r="A82" s="2">
        <v>46143</v>
      </c>
      <c r="B82" t="s">
        <v>29</v>
      </c>
      <c r="C82" s="2">
        <v>46145</v>
      </c>
      <c r="D82">
        <v>765</v>
      </c>
      <c r="E82">
        <v>98</v>
      </c>
      <c r="F82" s="4">
        <v>7.8061224489795924</v>
      </c>
    </row>
    <row r="83" spans="1:6" x14ac:dyDescent="0.3">
      <c r="A83" s="2">
        <v>46143</v>
      </c>
      <c r="B83" t="s">
        <v>30</v>
      </c>
      <c r="C83" s="2">
        <v>46145</v>
      </c>
      <c r="D83">
        <v>1476</v>
      </c>
      <c r="E83">
        <v>90.714285714285708</v>
      </c>
      <c r="F83" s="4">
        <v>16.270866141732281</v>
      </c>
    </row>
    <row r="84" spans="1:6" x14ac:dyDescent="0.3">
      <c r="A84" s="2">
        <v>46143</v>
      </c>
      <c r="B84" t="s">
        <v>31</v>
      </c>
      <c r="C84" s="2">
        <v>46145</v>
      </c>
      <c r="D84">
        <v>648</v>
      </c>
      <c r="E84">
        <v>33</v>
      </c>
      <c r="F84" s="4">
        <v>19.63636363636364</v>
      </c>
    </row>
    <row r="85" spans="1:6" x14ac:dyDescent="0.3">
      <c r="A85" s="2">
        <v>46143</v>
      </c>
      <c r="B85" t="s">
        <v>32</v>
      </c>
      <c r="C85" s="2">
        <v>46145</v>
      </c>
      <c r="D85">
        <v>466</v>
      </c>
      <c r="E85">
        <v>18.142857142857139</v>
      </c>
      <c r="F85" s="4">
        <v>25.685039370078741</v>
      </c>
    </row>
    <row r="86" spans="1:6" x14ac:dyDescent="0.3">
      <c r="A86" s="2">
        <v>46143</v>
      </c>
      <c r="B86" t="s">
        <v>33</v>
      </c>
      <c r="C86" s="2">
        <v>46145</v>
      </c>
      <c r="D86">
        <v>1174</v>
      </c>
      <c r="E86">
        <v>8.8571428571428577</v>
      </c>
      <c r="F86" s="4">
        <v>132.54838709677421</v>
      </c>
    </row>
    <row r="87" spans="1:6" x14ac:dyDescent="0.3">
      <c r="A87" s="2">
        <v>46143</v>
      </c>
      <c r="B87" t="s">
        <v>34</v>
      </c>
      <c r="C87" s="2">
        <v>46145</v>
      </c>
      <c r="D87">
        <v>1646</v>
      </c>
      <c r="E87">
        <v>24.285714285714281</v>
      </c>
      <c r="F87" s="4">
        <v>67.776470588235298</v>
      </c>
    </row>
    <row r="88" spans="1:6" x14ac:dyDescent="0.3">
      <c r="A88" s="2">
        <v>46143</v>
      </c>
      <c r="B88" t="s">
        <v>35</v>
      </c>
      <c r="C88" s="2">
        <v>46145</v>
      </c>
      <c r="D88">
        <v>1417</v>
      </c>
      <c r="E88">
        <v>8.2857142857142865</v>
      </c>
      <c r="F88" s="4">
        <v>171.01724137931029</v>
      </c>
    </row>
    <row r="89" spans="1:6" x14ac:dyDescent="0.3">
      <c r="A89" s="2">
        <v>46143</v>
      </c>
      <c r="B89" t="s">
        <v>36</v>
      </c>
      <c r="C89" s="2">
        <v>46145</v>
      </c>
      <c r="D89">
        <v>518</v>
      </c>
      <c r="E89">
        <v>4.2857142857142856</v>
      </c>
      <c r="F89" s="4">
        <v>120.8666666666667</v>
      </c>
    </row>
  </sheetData>
  <pageMargins left="0.75" right="0.75" top="1" bottom="1" header="0.5" footer="0.5"/>
  <headerFooter>
    <oddHeader>&amp;R&amp;"Aptos"&amp;10&amp;K000000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MonthEndDFC_by_Loc</vt:lpstr>
      <vt:lpstr>Sheet1</vt:lpstr>
      <vt:lpstr>MonthEndDFC_by_Mat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Sen</cp:lastModifiedBy>
  <dcterms:created xsi:type="dcterms:W3CDTF">2026-06-04T09:49:28Z</dcterms:created>
  <dcterms:modified xsi:type="dcterms:W3CDTF">2026-06-04T10:29:23Z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2026-06-04T09:50:11Z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f4a84422-72d8-44d6-b011-b321c2d1af9c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