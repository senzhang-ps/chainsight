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211800修复netdemand计算/module3/"/>
    </mc:Choice>
  </mc:AlternateContent>
  <xr:revisionPtr revIDLastSave="9" documentId="11_2B5983FF5658588BF8A808D04B65E8B26C21F9A4" xr6:coauthVersionLast="47" xr6:coauthVersionMax="47" xr10:uidLastSave="{5E2AB8C2-71F4-42C6-A6C6-9363D9B1BA87}"/>
  <bookViews>
    <workbookView xWindow="-120" yWindow="-120" windowWidth="29040" windowHeight="15720" xr2:uid="{00000000-000D-0000-FFFF-FFFF00000000}"/>
  </bookViews>
  <sheets>
    <sheet name="NetDem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F33" i="1"/>
  <c r="G32" i="1" s="1"/>
  <c r="N27" i="1"/>
  <c r="F32" i="1" s="1"/>
  <c r="N18" i="1"/>
  <c r="F24" i="1" s="1"/>
  <c r="F11" i="1"/>
  <c r="G24" i="1" l="1"/>
  <c r="G23" i="1"/>
  <c r="F23" i="1"/>
  <c r="G33" i="1"/>
</calcChain>
</file>

<file path=xl/sharedStrings.xml><?xml version="1.0" encoding="utf-8"?>
<sst xmlns="http://schemas.openxmlformats.org/spreadsheetml/2006/main" count="60" uniqueCount="30">
  <si>
    <t>material</t>
  </si>
  <si>
    <t>location</t>
  </si>
  <si>
    <t>requirement_date</t>
  </si>
  <si>
    <t>demand_element</t>
  </si>
  <si>
    <t>layer</t>
  </si>
  <si>
    <t>quantity</t>
  </si>
  <si>
    <t>simulation_date</t>
  </si>
  <si>
    <t>horizon_days</t>
  </si>
  <si>
    <t>80813608</t>
  </si>
  <si>
    <t>0386</t>
  </si>
  <si>
    <t>net demand for forecast</t>
  </si>
  <si>
    <t>A668</t>
  </si>
  <si>
    <t>C810</t>
  </si>
  <si>
    <t>C816</t>
  </si>
  <si>
    <t>80813644</t>
  </si>
  <si>
    <t>Total Available = 期初库存 + 在途库存 + 今日收货 + 今日生产收货 + 未来确认生产 - 今日客户发货 - 今日调拨发运 - 开放调拨</t>
  </si>
  <si>
    <t>期初库存</t>
  </si>
  <si>
    <t>在途库存</t>
  </si>
  <si>
    <t>今日收获</t>
  </si>
  <si>
    <t>今日生产收货</t>
  </si>
  <si>
    <t>未来确认生产</t>
  </si>
  <si>
    <t>今日客户发货</t>
  </si>
  <si>
    <t>今日调拨发运</t>
  </si>
  <si>
    <t>开放调拨</t>
  </si>
  <si>
    <t>total ava.</t>
  </si>
  <si>
    <t>AO</t>
  </si>
  <si>
    <t>supplydemand</t>
  </si>
  <si>
    <t>safety</t>
  </si>
  <si>
    <t>gap</t>
  </si>
  <si>
    <t>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</si>
</sst>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0" fontId="0" fillId="0" borderId="0" xfId="0" quotePrefix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M14" sqref="M14"/>
    </sheetView>
  </sheetViews>
  <sheetFormatPr defaultRowHeight="15" x14ac:dyDescent="0.25"/>
  <cols>
    <col min="1" max="1" width="9" bestFit="1" customWidth="1"/>
    <col min="2" max="2" width="8.140625" bestFit="1" customWidth="1"/>
    <col min="3" max="3" width="18.28515625" bestFit="1" customWidth="1"/>
    <col min="4" max="4" width="22.7109375" bestFit="1" customWidth="1"/>
    <col min="5" max="5" width="5.42578125" bestFit="1" customWidth="1"/>
    <col min="6" max="6" width="8.42578125" bestFit="1" customWidth="1"/>
    <col min="7" max="7" width="18.285156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45902</v>
      </c>
      <c r="D2" t="s">
        <v>10</v>
      </c>
      <c r="E2">
        <v>0</v>
      </c>
      <c r="F2">
        <v>-1530</v>
      </c>
      <c r="G2" s="2">
        <v>45901</v>
      </c>
      <c r="H2">
        <v>1</v>
      </c>
    </row>
    <row r="3" spans="1:8" x14ac:dyDescent="0.25">
      <c r="A3" t="s">
        <v>8</v>
      </c>
      <c r="B3" t="s">
        <v>11</v>
      </c>
      <c r="C3" s="2">
        <v>45902</v>
      </c>
      <c r="D3" t="s">
        <v>10</v>
      </c>
      <c r="E3">
        <v>2</v>
      </c>
      <c r="F3">
        <v>-435</v>
      </c>
      <c r="G3" s="2">
        <v>45901</v>
      </c>
      <c r="H3">
        <v>5</v>
      </c>
    </row>
    <row r="4" spans="1:8" x14ac:dyDescent="0.25">
      <c r="A4" t="s">
        <v>8</v>
      </c>
      <c r="B4" t="s">
        <v>12</v>
      </c>
      <c r="C4" s="2">
        <v>45902</v>
      </c>
      <c r="D4" t="s">
        <v>10</v>
      </c>
      <c r="E4">
        <v>1</v>
      </c>
      <c r="F4">
        <v>-735</v>
      </c>
      <c r="G4" s="2">
        <v>45901</v>
      </c>
      <c r="H4">
        <v>5</v>
      </c>
    </row>
    <row r="5" spans="1:8" x14ac:dyDescent="0.25">
      <c r="A5" t="s">
        <v>8</v>
      </c>
      <c r="B5" t="s">
        <v>13</v>
      </c>
      <c r="C5" s="2">
        <v>45902</v>
      </c>
      <c r="D5" t="s">
        <v>10</v>
      </c>
      <c r="E5">
        <v>1</v>
      </c>
      <c r="F5">
        <v>-795</v>
      </c>
      <c r="G5" s="2">
        <v>45901</v>
      </c>
      <c r="H5">
        <v>5</v>
      </c>
    </row>
    <row r="6" spans="1:8" x14ac:dyDescent="0.25">
      <c r="A6" t="s">
        <v>14</v>
      </c>
      <c r="B6" t="s">
        <v>9</v>
      </c>
      <c r="C6" s="2">
        <v>45902</v>
      </c>
      <c r="D6" t="s">
        <v>10</v>
      </c>
      <c r="E6">
        <v>0</v>
      </c>
      <c r="F6">
        <v>-780</v>
      </c>
      <c r="G6" s="2">
        <v>45901</v>
      </c>
      <c r="H6">
        <v>1</v>
      </c>
    </row>
    <row r="7" spans="1:8" x14ac:dyDescent="0.25">
      <c r="A7" t="s">
        <v>14</v>
      </c>
      <c r="B7" t="s">
        <v>11</v>
      </c>
      <c r="C7" s="2">
        <v>45902</v>
      </c>
      <c r="D7" t="s">
        <v>10</v>
      </c>
      <c r="E7">
        <v>2</v>
      </c>
      <c r="F7" s="3">
        <v>-435</v>
      </c>
      <c r="G7" s="2">
        <v>45901</v>
      </c>
      <c r="H7">
        <v>5</v>
      </c>
    </row>
    <row r="8" spans="1:8" x14ac:dyDescent="0.25">
      <c r="A8" t="s">
        <v>14</v>
      </c>
      <c r="B8" t="s">
        <v>13</v>
      </c>
      <c r="C8" s="2">
        <v>45902</v>
      </c>
      <c r="D8" t="s">
        <v>10</v>
      </c>
      <c r="E8">
        <v>1</v>
      </c>
      <c r="F8">
        <v>-780</v>
      </c>
      <c r="G8" s="2">
        <v>45901</v>
      </c>
      <c r="H8">
        <v>5</v>
      </c>
    </row>
    <row r="11" spans="1:8" x14ac:dyDescent="0.25">
      <c r="F11" s="3">
        <f>F7-F8</f>
        <v>345</v>
      </c>
    </row>
    <row r="16" spans="1:8" x14ac:dyDescent="0.25">
      <c r="F16" t="s">
        <v>15</v>
      </c>
    </row>
    <row r="17" spans="4:14" x14ac:dyDescent="0.25"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 t="s">
        <v>23</v>
      </c>
    </row>
    <row r="18" spans="4:14" x14ac:dyDescent="0.25">
      <c r="D18" s="3" t="s">
        <v>13</v>
      </c>
      <c r="E18" t="s">
        <v>24</v>
      </c>
      <c r="F18">
        <v>50</v>
      </c>
      <c r="G18">
        <v>40</v>
      </c>
      <c r="H18">
        <v>0</v>
      </c>
      <c r="I18">
        <v>0</v>
      </c>
      <c r="J18">
        <v>0</v>
      </c>
      <c r="K18">
        <v>50</v>
      </c>
      <c r="L18">
        <v>0</v>
      </c>
      <c r="M18">
        <v>0</v>
      </c>
      <c r="N18">
        <f>F18+G18+H18+I18+J18-K18-L18-M18</f>
        <v>40</v>
      </c>
    </row>
    <row r="21" spans="4:14" x14ac:dyDescent="0.25">
      <c r="F21" t="s">
        <v>25</v>
      </c>
      <c r="G21" t="s">
        <v>26</v>
      </c>
      <c r="H21" t="s">
        <v>27</v>
      </c>
    </row>
    <row r="22" spans="4:14" x14ac:dyDescent="0.25">
      <c r="F22">
        <v>10</v>
      </c>
      <c r="G22">
        <v>375</v>
      </c>
      <c r="H22">
        <v>0</v>
      </c>
    </row>
    <row r="23" spans="4:14" x14ac:dyDescent="0.25">
      <c r="E23" t="s">
        <v>28</v>
      </c>
      <c r="F23">
        <f>MAX(F22-N18,0)</f>
        <v>0</v>
      </c>
      <c r="G23" s="3">
        <f>MAX(G22-F24,0)</f>
        <v>345</v>
      </c>
      <c r="H23">
        <v>0</v>
      </c>
    </row>
    <row r="24" spans="4:14" x14ac:dyDescent="0.25">
      <c r="E24" t="s">
        <v>29</v>
      </c>
      <c r="F24">
        <f>MAX(N18-MIN(N18,F22),0)</f>
        <v>30</v>
      </c>
      <c r="G24">
        <f>MAX(F24-MIN(F24,G22),0)</f>
        <v>0</v>
      </c>
      <c r="H24">
        <v>0</v>
      </c>
    </row>
    <row r="26" spans="4:14" x14ac:dyDescent="0.25"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s="5" t="s">
        <v>22</v>
      </c>
      <c r="M26" t="s">
        <v>23</v>
      </c>
    </row>
    <row r="27" spans="4:14" x14ac:dyDescent="0.25">
      <c r="D27" s="4" t="s">
        <v>9</v>
      </c>
      <c r="E27" t="s">
        <v>24</v>
      </c>
      <c r="F27">
        <v>100</v>
      </c>
      <c r="G27">
        <v>0</v>
      </c>
      <c r="H27">
        <v>0</v>
      </c>
      <c r="I27">
        <v>0</v>
      </c>
      <c r="J27">
        <v>0</v>
      </c>
      <c r="K27">
        <v>0</v>
      </c>
      <c r="L27" s="5">
        <v>100</v>
      </c>
      <c r="M27">
        <v>0</v>
      </c>
      <c r="N27">
        <f>F27+G27+H27+I27+J27-K27-L27-M27</f>
        <v>0</v>
      </c>
    </row>
    <row r="30" spans="4:14" x14ac:dyDescent="0.25">
      <c r="F30" t="s">
        <v>25</v>
      </c>
      <c r="G30" t="s">
        <v>26</v>
      </c>
      <c r="H30" t="s">
        <v>27</v>
      </c>
    </row>
    <row r="31" spans="4:14" x14ac:dyDescent="0.25">
      <c r="F31">
        <v>0</v>
      </c>
      <c r="G31">
        <f>G23+(-F7)</f>
        <v>780</v>
      </c>
      <c r="H31">
        <v>0</v>
      </c>
    </row>
    <row r="32" spans="4:14" x14ac:dyDescent="0.25">
      <c r="E32" t="s">
        <v>28</v>
      </c>
      <c r="F32">
        <f>MAX(F31-N27,0)</f>
        <v>0</v>
      </c>
      <c r="G32">
        <f>MAX(G31-F33,0)</f>
        <v>780</v>
      </c>
      <c r="H32">
        <v>0</v>
      </c>
    </row>
    <row r="33" spans="5:8" x14ac:dyDescent="0.25">
      <c r="E33" t="s">
        <v>29</v>
      </c>
      <c r="F33">
        <f>MAX(N27-MIN(N27,F31),0)</f>
        <v>0</v>
      </c>
      <c r="G33">
        <f>MAX(F33-MIN(F33,G31),0)</f>
        <v>0</v>
      </c>
      <c r="H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2025-09-18T13:18:03Z</dcterms:created>
  <dcterms:modified xsi:type="dcterms:W3CDTF">2025-09-18T13:38:22Z</dcterms:modified>
</cp:coreProperties>
</file>